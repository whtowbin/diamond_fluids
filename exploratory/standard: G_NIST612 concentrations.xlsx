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wtowbin/Projects/Diamond Forming Fluids/diamond_fluids/standard:"/>
    </mc:Choice>
  </mc:AlternateContent>
  <xr:revisionPtr revIDLastSave="0" documentId="13_ncr:1_{2750BA45-81F0-DF4E-A8DD-51D82673217C}" xr6:coauthVersionLast="47" xr6:coauthVersionMax="47" xr10:uidLastSave="{00000000-0000-0000-0000-000000000000}"/>
  <bookViews>
    <workbookView xWindow="6580" yWindow="10720" windowWidth="29400" windowHeight="18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E25" i="1"/>
  <c r="F25" i="1"/>
  <c r="G25" i="1"/>
  <c r="G26" i="1" s="1"/>
  <c r="H25" i="1"/>
  <c r="H26" i="1" s="1"/>
  <c r="I25" i="1"/>
  <c r="I26" i="1" s="1"/>
  <c r="J25" i="1"/>
  <c r="J26" i="1" s="1"/>
  <c r="K25" i="1"/>
  <c r="L25" i="1"/>
  <c r="M25" i="1"/>
  <c r="N25" i="1"/>
  <c r="O25" i="1"/>
  <c r="O26" i="1" s="1"/>
  <c r="P25" i="1"/>
  <c r="P26" i="1" s="1"/>
  <c r="Q25" i="1"/>
  <c r="Q26" i="1" s="1"/>
  <c r="R25" i="1"/>
  <c r="R26" i="1" s="1"/>
  <c r="S25" i="1"/>
  <c r="T25" i="1"/>
  <c r="U25" i="1"/>
  <c r="V25" i="1"/>
  <c r="W25" i="1"/>
  <c r="W26" i="1" s="1"/>
  <c r="X25" i="1"/>
  <c r="X26" i="1" s="1"/>
  <c r="Y25" i="1"/>
  <c r="Y26" i="1" s="1"/>
  <c r="Z25" i="1"/>
  <c r="Z26" i="1" s="1"/>
  <c r="AA25" i="1"/>
  <c r="AB25" i="1"/>
  <c r="AC25" i="1"/>
  <c r="AD25" i="1"/>
  <c r="AE25" i="1"/>
  <c r="AE26" i="1" s="1"/>
  <c r="AF25" i="1"/>
  <c r="AF26" i="1" s="1"/>
  <c r="AG25" i="1"/>
  <c r="AG26" i="1" s="1"/>
  <c r="AH25" i="1"/>
  <c r="AH26" i="1" s="1"/>
  <c r="AI25" i="1"/>
  <c r="AJ25" i="1"/>
  <c r="AK25" i="1"/>
  <c r="AL25" i="1"/>
  <c r="C26" i="1"/>
  <c r="D26" i="1"/>
  <c r="E26" i="1"/>
  <c r="F26" i="1"/>
  <c r="K26" i="1"/>
  <c r="L26" i="1"/>
  <c r="M26" i="1"/>
  <c r="N26" i="1"/>
  <c r="S26" i="1"/>
  <c r="T26" i="1"/>
  <c r="U26" i="1"/>
  <c r="V26" i="1"/>
  <c r="AA26" i="1"/>
  <c r="AB26" i="1"/>
  <c r="AC26" i="1"/>
  <c r="AD26" i="1"/>
  <c r="AI26" i="1"/>
  <c r="AJ26" i="1"/>
  <c r="AK26" i="1"/>
  <c r="AL26" i="1"/>
  <c r="B26" i="1"/>
  <c r="B25" i="1"/>
</calcChain>
</file>

<file path=xl/sharedStrings.xml><?xml version="1.0" encoding="utf-8"?>
<sst xmlns="http://schemas.openxmlformats.org/spreadsheetml/2006/main" count="39" uniqueCount="39">
  <si>
    <t>Na</t>
  </si>
  <si>
    <t>Mg</t>
  </si>
  <si>
    <t>Al</t>
  </si>
  <si>
    <t>Si</t>
  </si>
  <si>
    <t>P</t>
  </si>
  <si>
    <t>K</t>
  </si>
  <si>
    <t>Ca</t>
  </si>
  <si>
    <t>Ti</t>
  </si>
  <si>
    <t>Cr</t>
  </si>
  <si>
    <t>Fe</t>
  </si>
  <si>
    <t>Ni</t>
  </si>
  <si>
    <t>Rb</t>
  </si>
  <si>
    <t>Sr</t>
  </si>
  <si>
    <t>Y</t>
  </si>
  <si>
    <t>Zr</t>
  </si>
  <si>
    <t>Nb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</si>
  <si>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</si>
  <si>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</si>
  <si>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</si>
  <si>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</si>
  <si>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</si>
  <si>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</si>
  <si>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</si>
  <si>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</si>
  <si>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</si>
  <si>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</si>
  <si>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</si>
  <si>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</si>
  <si>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</si>
  <si>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</si>
  <si>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</si>
  <si>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</si>
  <si>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</si>
  <si>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</si>
  <si>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Pb</t>
  </si>
  <si>
    <t>Th</t>
  </si>
  <si>
    <t>U</t>
  </si>
  <si>
    <t>Value</t>
  </si>
  <si>
    <t>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</si>
</sst>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"/>
  <sheetViews>
    <sheetView tabSelected="1" topLeftCell="A3" workbookViewId="0">
      <selection activeCell="B25" sqref="B25:AL26"/>
    </sheetView>
  </sheetViews>
  <sheetFormatPr baseColWidth="10" defaultColWidth="8.83203125" defaultRowHeight="15" x14ac:dyDescent="0.2"/>
  <sheetData>
    <row r="1" spans="1:3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">
      <c r="A2" s="1">
        <v>21</v>
      </c>
      <c r="B2">
        <v>106907.1577835303</v>
      </c>
      <c r="C2">
        <v>73.419878282014565</v>
      </c>
      <c r="D2">
        <v>11198.73759691245</v>
      </c>
      <c r="E2">
        <v>330999.99645721528</v>
      </c>
      <c r="F2">
        <v>42.516869922539172</v>
      </c>
      <c r="G2">
        <v>80.596043183187376</v>
      </c>
      <c r="H2">
        <v>85822.64852054212</v>
      </c>
      <c r="I2">
        <v>44</v>
      </c>
      <c r="J2">
        <v>37.641233041642941</v>
      </c>
      <c r="K2">
        <v>50.067198593636583</v>
      </c>
      <c r="L2">
        <v>40.534940863330469</v>
      </c>
      <c r="M2">
        <v>31.63819537933826</v>
      </c>
      <c r="N2">
        <v>79.848704814317315</v>
      </c>
      <c r="O2">
        <v>39.836112444653679</v>
      </c>
      <c r="P2">
        <v>39.713354816903703</v>
      </c>
      <c r="Q2">
        <v>40.111758341058923</v>
      </c>
      <c r="R2">
        <v>42.446106846438482</v>
      </c>
      <c r="S2">
        <v>39.408035368153392</v>
      </c>
      <c r="T2">
        <v>36.301695064494552</v>
      </c>
      <c r="U2">
        <v>38.200676754591981</v>
      </c>
      <c r="V2">
        <v>37.479646175770327</v>
      </c>
      <c r="W2">
        <v>34.882590664404127</v>
      </c>
      <c r="X2">
        <v>37.69875180097705</v>
      </c>
      <c r="Y2">
        <v>35.773565236339238</v>
      </c>
      <c r="Z2">
        <v>37.778552633131</v>
      </c>
      <c r="AA2">
        <v>37.785026543717748</v>
      </c>
      <c r="AB2">
        <v>36.131793771759362</v>
      </c>
      <c r="AC2">
        <v>39.182679752769189</v>
      </c>
      <c r="AD2">
        <v>38.738210579127568</v>
      </c>
      <c r="AE2">
        <v>37.25428943839087</v>
      </c>
      <c r="AF2">
        <v>39.830899261857518</v>
      </c>
      <c r="AG2">
        <v>37.459576562349199</v>
      </c>
      <c r="AH2">
        <v>37.077697725226031</v>
      </c>
      <c r="AI2">
        <v>38.01239952994105</v>
      </c>
      <c r="AJ2">
        <v>37.603106708984761</v>
      </c>
      <c r="AK2">
        <v>37.273724978346223</v>
      </c>
      <c r="AL2">
        <v>35.901228137965632</v>
      </c>
    </row>
    <row r="3" spans="1:38" x14ac:dyDescent="0.2">
      <c r="A3" s="1">
        <v>22</v>
      </c>
      <c r="B3">
        <v>104757.18901420489</v>
      </c>
      <c r="C3">
        <v>71.918906723655795</v>
      </c>
      <c r="D3">
        <v>11497.508442460579</v>
      </c>
      <c r="E3">
        <v>345652.51274625171</v>
      </c>
      <c r="F3">
        <v>44.981201918553481</v>
      </c>
      <c r="G3">
        <v>67.689408187338458</v>
      </c>
      <c r="H3">
        <v>84837.194942860166</v>
      </c>
      <c r="I3">
        <v>44</v>
      </c>
      <c r="J3">
        <v>37.868688116815619</v>
      </c>
      <c r="K3">
        <v>51.859318701510773</v>
      </c>
      <c r="L3">
        <v>41.088435478737672</v>
      </c>
      <c r="M3">
        <v>32.317761633446089</v>
      </c>
      <c r="N3">
        <v>81.020515664010105</v>
      </c>
      <c r="O3">
        <v>40.616215704153753</v>
      </c>
      <c r="P3">
        <v>40.148929673641597</v>
      </c>
      <c r="Q3">
        <v>40.712948006075138</v>
      </c>
      <c r="R3">
        <v>43.739584460573383</v>
      </c>
      <c r="S3">
        <v>40.103667490523328</v>
      </c>
      <c r="T3">
        <v>37.087726754927942</v>
      </c>
      <c r="U3">
        <v>39.336334714821128</v>
      </c>
      <c r="V3">
        <v>38.788377873911458</v>
      </c>
      <c r="W3">
        <v>36.21846707309971</v>
      </c>
      <c r="X3">
        <v>38.697940198805568</v>
      </c>
      <c r="Y3">
        <v>36.646676643777873</v>
      </c>
      <c r="Z3">
        <v>38.288733993265687</v>
      </c>
      <c r="AA3">
        <v>38.786312205403583</v>
      </c>
      <c r="AB3">
        <v>36.819861258080778</v>
      </c>
      <c r="AC3">
        <v>39.695260557081788</v>
      </c>
      <c r="AD3">
        <v>39.357254659391408</v>
      </c>
      <c r="AE3">
        <v>37.923067159632232</v>
      </c>
      <c r="AF3">
        <v>40.436793927856478</v>
      </c>
      <c r="AG3">
        <v>38.175693156197589</v>
      </c>
      <c r="AH3">
        <v>37.872119316532441</v>
      </c>
      <c r="AI3">
        <v>38.761828798355317</v>
      </c>
      <c r="AJ3">
        <v>38.707273774919052</v>
      </c>
      <c r="AK3">
        <v>38.470212203249723</v>
      </c>
      <c r="AL3">
        <v>36.839941084533713</v>
      </c>
    </row>
    <row r="4" spans="1:38" x14ac:dyDescent="0.2">
      <c r="A4" s="1">
        <v>23</v>
      </c>
      <c r="B4">
        <v>105662.00717122119</v>
      </c>
      <c r="C4">
        <v>70.835294805285727</v>
      </c>
      <c r="D4">
        <v>11322.26007013108</v>
      </c>
      <c r="E4">
        <v>346026.08895257529</v>
      </c>
      <c r="F4">
        <v>47.267764345243449</v>
      </c>
      <c r="G4">
        <v>83.005780656280947</v>
      </c>
      <c r="H4">
        <v>85125.997711032614</v>
      </c>
      <c r="I4">
        <v>44</v>
      </c>
      <c r="J4">
        <v>37.339575114684934</v>
      </c>
      <c r="K4">
        <v>52.332942182334669</v>
      </c>
      <c r="L4">
        <v>40.271676934281743</v>
      </c>
      <c r="M4">
        <v>32.119326710923723</v>
      </c>
      <c r="N4">
        <v>80.211397987840115</v>
      </c>
      <c r="O4">
        <v>39.812677752789106</v>
      </c>
      <c r="P4">
        <v>39.499160266369877</v>
      </c>
      <c r="Q4">
        <v>40.186072519321471</v>
      </c>
      <c r="R4">
        <v>43.469639760233569</v>
      </c>
      <c r="S4">
        <v>39.67861680517575</v>
      </c>
      <c r="T4">
        <v>36.736337237207202</v>
      </c>
      <c r="U4">
        <v>39.093319670154052</v>
      </c>
      <c r="V4">
        <v>38.236389353108869</v>
      </c>
      <c r="W4">
        <v>36.236690086840511</v>
      </c>
      <c r="X4">
        <v>38.186888383411201</v>
      </c>
      <c r="Y4">
        <v>35.905411592934549</v>
      </c>
      <c r="Z4">
        <v>37.760856048268323</v>
      </c>
      <c r="AA4">
        <v>38.421826816911427</v>
      </c>
      <c r="AB4">
        <v>36.085407281788527</v>
      </c>
      <c r="AC4">
        <v>39.061248318677201</v>
      </c>
      <c r="AD4">
        <v>38.749549071077368</v>
      </c>
      <c r="AE4">
        <v>37.348974155504379</v>
      </c>
      <c r="AF4">
        <v>39.846530826120798</v>
      </c>
      <c r="AG4">
        <v>37.617914549511823</v>
      </c>
      <c r="AH4">
        <v>37.140099378485083</v>
      </c>
      <c r="AI4">
        <v>38.207616628167422</v>
      </c>
      <c r="AJ4">
        <v>38.544869087344267</v>
      </c>
      <c r="AK4">
        <v>38.27238912661511</v>
      </c>
      <c r="AL4">
        <v>37.122460795243327</v>
      </c>
    </row>
    <row r="5" spans="1:38" x14ac:dyDescent="0.2">
      <c r="A5" s="1">
        <v>24</v>
      </c>
      <c r="B5">
        <v>104740.16349897459</v>
      </c>
      <c r="C5">
        <v>70.763789424026456</v>
      </c>
      <c r="D5">
        <v>11199.427021162441</v>
      </c>
      <c r="E5">
        <v>341403.68239335838</v>
      </c>
      <c r="F5">
        <v>47.277170746028531</v>
      </c>
      <c r="G5">
        <v>77.632666189222917</v>
      </c>
      <c r="H5">
        <v>84236.622625886361</v>
      </c>
      <c r="I5">
        <v>44</v>
      </c>
      <c r="J5">
        <v>36.901496645563107</v>
      </c>
      <c r="K5">
        <v>50.842417310003462</v>
      </c>
      <c r="L5">
        <v>39.542770990520097</v>
      </c>
      <c r="M5">
        <v>31.368751558454601</v>
      </c>
      <c r="N5">
        <v>78.322930577185616</v>
      </c>
      <c r="O5">
        <v>38.492411011679003</v>
      </c>
      <c r="P5">
        <v>38.315739204922821</v>
      </c>
      <c r="Q5">
        <v>38.599494808701273</v>
      </c>
      <c r="R5">
        <v>42.613618169221517</v>
      </c>
      <c r="S5">
        <v>39.220896850733283</v>
      </c>
      <c r="T5">
        <v>36.021642763997527</v>
      </c>
      <c r="U5">
        <v>38.138830051454057</v>
      </c>
      <c r="V5">
        <v>37.678288374016198</v>
      </c>
      <c r="W5">
        <v>35.106300178802208</v>
      </c>
      <c r="X5">
        <v>37.673420998325113</v>
      </c>
      <c r="Y5">
        <v>35.670595228004821</v>
      </c>
      <c r="Z5">
        <v>37.712012685395578</v>
      </c>
      <c r="AA5">
        <v>38.035931892803383</v>
      </c>
      <c r="AB5">
        <v>35.776872904447373</v>
      </c>
      <c r="AC5">
        <v>38.566291911362299</v>
      </c>
      <c r="AD5">
        <v>38.659952777120111</v>
      </c>
      <c r="AE5">
        <v>37.203573830250811</v>
      </c>
      <c r="AF5">
        <v>39.735170252551228</v>
      </c>
      <c r="AG5">
        <v>37.548569628738647</v>
      </c>
      <c r="AH5">
        <v>37.055102402203879</v>
      </c>
      <c r="AI5">
        <v>37.880279386444784</v>
      </c>
      <c r="AJ5">
        <v>38.569481329419453</v>
      </c>
      <c r="AK5">
        <v>38.135735354413193</v>
      </c>
      <c r="AL5">
        <v>37.540495646015813</v>
      </c>
    </row>
    <row r="6" spans="1:38" x14ac:dyDescent="0.2">
      <c r="A6" s="1">
        <v>25</v>
      </c>
      <c r="B6">
        <v>106565.3445261701</v>
      </c>
      <c r="C6">
        <v>69.461538241974537</v>
      </c>
      <c r="D6">
        <v>11199.65470911129</v>
      </c>
      <c r="E6">
        <v>344666.66202237178</v>
      </c>
      <c r="F6">
        <v>43.759951792246817</v>
      </c>
      <c r="G6">
        <v>60.059838498368613</v>
      </c>
      <c r="H6">
        <v>85323.58001372937</v>
      </c>
      <c r="I6">
        <v>44</v>
      </c>
      <c r="J6">
        <v>36.855205380209021</v>
      </c>
      <c r="K6">
        <v>51.813736361781928</v>
      </c>
      <c r="L6">
        <v>39.416455000964937</v>
      </c>
      <c r="M6">
        <v>31.77881444375285</v>
      </c>
      <c r="N6">
        <v>78.791391852191722</v>
      </c>
      <c r="O6">
        <v>38.147037711924412</v>
      </c>
      <c r="P6">
        <v>37.600420328612479</v>
      </c>
      <c r="Q6">
        <v>38.627514439953323</v>
      </c>
      <c r="R6">
        <v>42.499790989675603</v>
      </c>
      <c r="S6">
        <v>39.554503821080111</v>
      </c>
      <c r="T6">
        <v>35.854869575095641</v>
      </c>
      <c r="U6">
        <v>38.359023712657518</v>
      </c>
      <c r="V6">
        <v>37.844284502790742</v>
      </c>
      <c r="W6">
        <v>35.526495172826984</v>
      </c>
      <c r="X6">
        <v>37.752962072881331</v>
      </c>
      <c r="Y6">
        <v>35.543576122129778</v>
      </c>
      <c r="Z6">
        <v>37.43677091958191</v>
      </c>
      <c r="AA6">
        <v>37.525586084835417</v>
      </c>
      <c r="AB6">
        <v>35.233995198960358</v>
      </c>
      <c r="AC6">
        <v>38.127702061118427</v>
      </c>
      <c r="AD6">
        <v>37.858685299762172</v>
      </c>
      <c r="AE6">
        <v>36.895090874762808</v>
      </c>
      <c r="AF6">
        <v>39.0843216710538</v>
      </c>
      <c r="AG6">
        <v>36.957678494133937</v>
      </c>
      <c r="AH6">
        <v>36.502767937374948</v>
      </c>
      <c r="AI6">
        <v>37.700777058554273</v>
      </c>
      <c r="AJ6">
        <v>38.640436559769398</v>
      </c>
      <c r="AK6">
        <v>37.998184228634308</v>
      </c>
      <c r="AL6">
        <v>37.44600061588082</v>
      </c>
    </row>
    <row r="7" spans="1:38" x14ac:dyDescent="0.2">
      <c r="A7" s="1">
        <v>26</v>
      </c>
      <c r="B7">
        <v>104622.6685233794</v>
      </c>
      <c r="C7">
        <v>69.077316986776722</v>
      </c>
      <c r="D7">
        <v>11275.547030821481</v>
      </c>
      <c r="E7">
        <v>343920.39869061869</v>
      </c>
      <c r="F7">
        <v>48.257172766425263</v>
      </c>
      <c r="G7">
        <v>57.241335047547352</v>
      </c>
      <c r="H7">
        <v>84923.74167075177</v>
      </c>
      <c r="I7">
        <v>44</v>
      </c>
      <c r="J7">
        <v>36.524638068923998</v>
      </c>
      <c r="K7">
        <v>51.189741179646667</v>
      </c>
      <c r="L7">
        <v>38.783764569902097</v>
      </c>
      <c r="M7">
        <v>31.604043720230521</v>
      </c>
      <c r="N7">
        <v>78.299964584589887</v>
      </c>
      <c r="O7">
        <v>38.222746378239307</v>
      </c>
      <c r="P7">
        <v>37.907617996818367</v>
      </c>
      <c r="Q7">
        <v>38.972277139196507</v>
      </c>
      <c r="R7">
        <v>42.865433647274401</v>
      </c>
      <c r="S7">
        <v>39.135082313712488</v>
      </c>
      <c r="T7">
        <v>35.868547009344958</v>
      </c>
      <c r="U7">
        <v>37.898613281305387</v>
      </c>
      <c r="V7">
        <v>37.552030606632513</v>
      </c>
      <c r="W7">
        <v>35.331531699028893</v>
      </c>
      <c r="X7">
        <v>37.454504492186942</v>
      </c>
      <c r="Y7">
        <v>35.339605933118463</v>
      </c>
      <c r="Z7">
        <v>36.951737761761308</v>
      </c>
      <c r="AA7">
        <v>37.617059558335967</v>
      </c>
      <c r="AB7">
        <v>35.711159173638407</v>
      </c>
      <c r="AC7">
        <v>38.507346718045319</v>
      </c>
      <c r="AD7">
        <v>37.820900686787873</v>
      </c>
      <c r="AE7">
        <v>36.659111999080991</v>
      </c>
      <c r="AF7">
        <v>39.161795811230277</v>
      </c>
      <c r="AG7">
        <v>36.795844051288803</v>
      </c>
      <c r="AH7">
        <v>36.650675282730937</v>
      </c>
      <c r="AI7">
        <v>37.446531827571953</v>
      </c>
      <c r="AJ7">
        <v>38.689596015871501</v>
      </c>
      <c r="AK7">
        <v>37.896491375240537</v>
      </c>
      <c r="AL7">
        <v>37.633636646065852</v>
      </c>
    </row>
    <row r="8" spans="1:38" x14ac:dyDescent="0.2">
      <c r="A8" s="1">
        <v>27</v>
      </c>
      <c r="B8">
        <v>103864.7626786477</v>
      </c>
      <c r="C8">
        <v>68.490032781200355</v>
      </c>
      <c r="D8">
        <v>11149.32026761357</v>
      </c>
      <c r="E8">
        <v>341411.05089048739</v>
      </c>
      <c r="F8">
        <v>45.099252874411889</v>
      </c>
      <c r="G8">
        <v>58.499277808998841</v>
      </c>
      <c r="H8">
        <v>84232.540959904698</v>
      </c>
      <c r="I8">
        <v>44</v>
      </c>
      <c r="J8">
        <v>35.836486308589933</v>
      </c>
      <c r="K8">
        <v>51.746379938348767</v>
      </c>
      <c r="L8">
        <v>38.954250438232258</v>
      </c>
      <c r="M8">
        <v>31.119285127506942</v>
      </c>
      <c r="N8">
        <v>77.86586505529003</v>
      </c>
      <c r="O8">
        <v>37.953901920655191</v>
      </c>
      <c r="P8">
        <v>37.424004377003982</v>
      </c>
      <c r="Q8">
        <v>38.524442459805172</v>
      </c>
      <c r="R8">
        <v>42.276750476789509</v>
      </c>
      <c r="S8">
        <v>38.818903577353758</v>
      </c>
      <c r="T8">
        <v>35.672290039598813</v>
      </c>
      <c r="U8">
        <v>38.033014244885187</v>
      </c>
      <c r="V8">
        <v>37.51800722838118</v>
      </c>
      <c r="W8">
        <v>35.421603115305103</v>
      </c>
      <c r="X8">
        <v>37.188068901107663</v>
      </c>
      <c r="Y8">
        <v>35.154651950676772</v>
      </c>
      <c r="Z8">
        <v>36.399058837760819</v>
      </c>
      <c r="AA8">
        <v>37.272021037996851</v>
      </c>
      <c r="AB8">
        <v>34.893495973487973</v>
      </c>
      <c r="AC8">
        <v>37.860087451830793</v>
      </c>
      <c r="AD8">
        <v>37.798556912495172</v>
      </c>
      <c r="AE8">
        <v>36.613138339885232</v>
      </c>
      <c r="AF8">
        <v>39.092874265885733</v>
      </c>
      <c r="AG8">
        <v>36.469044278514843</v>
      </c>
      <c r="AH8">
        <v>36.253952895714143</v>
      </c>
      <c r="AI8">
        <v>37.155746500528991</v>
      </c>
      <c r="AJ8">
        <v>38.397893566290691</v>
      </c>
      <c r="AK8">
        <v>37.550583741486761</v>
      </c>
      <c r="AL8">
        <v>37.354976927375759</v>
      </c>
    </row>
    <row r="9" spans="1:38" x14ac:dyDescent="0.2">
      <c r="A9" s="1">
        <v>28</v>
      </c>
      <c r="B9">
        <v>103169.2260255195</v>
      </c>
      <c r="C9">
        <v>68.754552480906341</v>
      </c>
      <c r="D9">
        <v>11243.46018680853</v>
      </c>
      <c r="E9">
        <v>341836.7243250793</v>
      </c>
      <c r="F9">
        <v>48.391897991194767</v>
      </c>
      <c r="G9">
        <v>57.161592440798543</v>
      </c>
      <c r="H9">
        <v>85788.920937758652</v>
      </c>
      <c r="I9">
        <v>44</v>
      </c>
      <c r="J9">
        <v>36.82751248735002</v>
      </c>
      <c r="K9">
        <v>52.96854815594623</v>
      </c>
      <c r="L9">
        <v>39.19334815980077</v>
      </c>
      <c r="M9">
        <v>31.5053902154255</v>
      </c>
      <c r="N9">
        <v>78.599629138473404</v>
      </c>
      <c r="O9">
        <v>38.125552437102613</v>
      </c>
      <c r="P9">
        <v>37.916680845159568</v>
      </c>
      <c r="Q9">
        <v>38.978318358138957</v>
      </c>
      <c r="R9">
        <v>43.005162439866631</v>
      </c>
      <c r="S9">
        <v>39.383691130456178</v>
      </c>
      <c r="T9">
        <v>35.981404627910699</v>
      </c>
      <c r="U9">
        <v>38.32692205818298</v>
      </c>
      <c r="V9">
        <v>37.461256221219593</v>
      </c>
      <c r="W9">
        <v>35.002214751989762</v>
      </c>
      <c r="X9">
        <v>37.398012324680657</v>
      </c>
      <c r="Y9">
        <v>35.262019998085478</v>
      </c>
      <c r="Z9">
        <v>36.938483322005887</v>
      </c>
      <c r="AA9">
        <v>37.234135781025621</v>
      </c>
      <c r="AB9">
        <v>35.034950674253601</v>
      </c>
      <c r="AC9">
        <v>37.90151096481037</v>
      </c>
      <c r="AD9">
        <v>37.767525967034381</v>
      </c>
      <c r="AE9">
        <v>36.385351753544512</v>
      </c>
      <c r="AF9">
        <v>38.742670212081833</v>
      </c>
      <c r="AG9">
        <v>36.781064268995173</v>
      </c>
      <c r="AH9">
        <v>36.107181845370903</v>
      </c>
      <c r="AI9">
        <v>37.213885311432747</v>
      </c>
      <c r="AJ9">
        <v>38.625316304834023</v>
      </c>
      <c r="AK9">
        <v>37.158142222294018</v>
      </c>
      <c r="AL9">
        <v>37.222899237848651</v>
      </c>
    </row>
    <row r="10" spans="1:38" x14ac:dyDescent="0.2">
      <c r="A10" s="1">
        <v>29</v>
      </c>
      <c r="B10">
        <v>102723.4345887652</v>
      </c>
      <c r="C10">
        <v>67.440540411316775</v>
      </c>
      <c r="D10">
        <v>11153.614642879271</v>
      </c>
      <c r="E10">
        <v>335183.72453694628</v>
      </c>
      <c r="F10">
        <v>44.273013754635173</v>
      </c>
      <c r="G10">
        <v>64.637003599859284</v>
      </c>
      <c r="H10">
        <v>84851.367523202935</v>
      </c>
      <c r="I10">
        <v>44</v>
      </c>
      <c r="J10">
        <v>36.270461569368081</v>
      </c>
      <c r="K10">
        <v>49.879146617483642</v>
      </c>
      <c r="L10">
        <v>38.358683325202243</v>
      </c>
      <c r="M10">
        <v>31.30359311311663</v>
      </c>
      <c r="N10">
        <v>78.494733710079387</v>
      </c>
      <c r="O10">
        <v>37.928269345879997</v>
      </c>
      <c r="P10">
        <v>37.078452430468751</v>
      </c>
      <c r="Q10">
        <v>38.720309594022638</v>
      </c>
      <c r="R10">
        <v>42.278452388855229</v>
      </c>
      <c r="S10">
        <v>38.921834992802047</v>
      </c>
      <c r="T10">
        <v>35.829840892651731</v>
      </c>
      <c r="U10">
        <v>38.391055081894862</v>
      </c>
      <c r="V10">
        <v>37.805162716768457</v>
      </c>
      <c r="W10">
        <v>35.555420322368867</v>
      </c>
      <c r="X10">
        <v>37.515981916749553</v>
      </c>
      <c r="Y10">
        <v>35.420457435497212</v>
      </c>
      <c r="Z10">
        <v>37.013534295264833</v>
      </c>
      <c r="AA10">
        <v>37.21927617648992</v>
      </c>
      <c r="AB10">
        <v>35.077413181931767</v>
      </c>
      <c r="AC10">
        <v>37.802895073527729</v>
      </c>
      <c r="AD10">
        <v>37.393584302137803</v>
      </c>
      <c r="AE10">
        <v>36.598286707290512</v>
      </c>
      <c r="AF10">
        <v>38.80919452490464</v>
      </c>
      <c r="AG10">
        <v>36.532242721594827</v>
      </c>
      <c r="AH10">
        <v>36.192856106641628</v>
      </c>
      <c r="AI10">
        <v>37.202045180949121</v>
      </c>
      <c r="AJ10">
        <v>38.68714095895708</v>
      </c>
      <c r="AK10">
        <v>37.356334814113261</v>
      </c>
      <c r="AL10">
        <v>37.343584573709997</v>
      </c>
    </row>
    <row r="11" spans="1:38" x14ac:dyDescent="0.2">
      <c r="A11" s="1">
        <v>30</v>
      </c>
      <c r="B11">
        <v>103866.69035584771</v>
      </c>
      <c r="C11">
        <v>67.464214714066841</v>
      </c>
      <c r="D11">
        <v>11221.736902391051</v>
      </c>
      <c r="E11">
        <v>339162.17190031998</v>
      </c>
      <c r="F11">
        <v>47.43192333487363</v>
      </c>
      <c r="G11">
        <v>58.966516362314017</v>
      </c>
      <c r="H11">
        <v>85905.982737594954</v>
      </c>
      <c r="I11">
        <v>44</v>
      </c>
      <c r="J11">
        <v>36.837295621647677</v>
      </c>
      <c r="K11">
        <v>52.16727818023562</v>
      </c>
      <c r="L11">
        <v>39.282465418526343</v>
      </c>
      <c r="M11">
        <v>31.824364158770742</v>
      </c>
      <c r="N11">
        <v>79.367987551747859</v>
      </c>
      <c r="O11">
        <v>38.329421251604053</v>
      </c>
      <c r="P11">
        <v>37.893461267283207</v>
      </c>
      <c r="Q11">
        <v>38.842679955581438</v>
      </c>
      <c r="R11">
        <v>43.118709814205893</v>
      </c>
      <c r="S11">
        <v>40.24188162448722</v>
      </c>
      <c r="T11">
        <v>36.4369720762407</v>
      </c>
      <c r="U11">
        <v>39.091542621908367</v>
      </c>
      <c r="V11">
        <v>38.320717344918442</v>
      </c>
      <c r="W11">
        <v>35.956701733418647</v>
      </c>
      <c r="X11">
        <v>38.469670083511367</v>
      </c>
      <c r="Y11">
        <v>35.966603713971047</v>
      </c>
      <c r="Z11">
        <v>37.619781214707537</v>
      </c>
      <c r="AA11">
        <v>37.762087342187733</v>
      </c>
      <c r="AB11">
        <v>35.624841919160303</v>
      </c>
      <c r="AC11">
        <v>38.099849441994031</v>
      </c>
      <c r="AD11">
        <v>37.601107368427151</v>
      </c>
      <c r="AE11">
        <v>36.94096395683534</v>
      </c>
      <c r="AF11">
        <v>39.422107014198588</v>
      </c>
      <c r="AG11">
        <v>36.954598985850318</v>
      </c>
      <c r="AH11">
        <v>36.773003793689433</v>
      </c>
      <c r="AI11">
        <v>37.873190781526112</v>
      </c>
      <c r="AJ11">
        <v>39.079554256957017</v>
      </c>
      <c r="AK11">
        <v>37.942331242644123</v>
      </c>
      <c r="AL11">
        <v>38.125333015844042</v>
      </c>
    </row>
    <row r="12" spans="1:38" x14ac:dyDescent="0.2">
      <c r="A12" s="1">
        <v>31</v>
      </c>
      <c r="B12">
        <v>102869.60972343441</v>
      </c>
      <c r="C12">
        <v>66.302344436138526</v>
      </c>
      <c r="D12">
        <v>11011.55526174493</v>
      </c>
      <c r="E12">
        <v>331982.78848837572</v>
      </c>
      <c r="F12">
        <v>48.379216138231449</v>
      </c>
      <c r="G12">
        <v>57.020301224271172</v>
      </c>
      <c r="H12">
        <v>83908.762380216853</v>
      </c>
      <c r="I12">
        <v>44</v>
      </c>
      <c r="J12">
        <v>35.870002498071322</v>
      </c>
      <c r="K12">
        <v>50.524145609138067</v>
      </c>
      <c r="L12">
        <v>38.078969627645932</v>
      </c>
      <c r="M12">
        <v>31.048910245415328</v>
      </c>
      <c r="N12">
        <v>77.005728561406173</v>
      </c>
      <c r="O12">
        <v>37.225086974451287</v>
      </c>
      <c r="P12">
        <v>37.039394519390612</v>
      </c>
      <c r="Q12">
        <v>38.566151236559051</v>
      </c>
      <c r="R12">
        <v>42.349216131866292</v>
      </c>
      <c r="S12">
        <v>39.167183508314523</v>
      </c>
      <c r="T12">
        <v>35.281763311458747</v>
      </c>
      <c r="U12">
        <v>38.376521554352863</v>
      </c>
      <c r="V12">
        <v>37.807125894977467</v>
      </c>
      <c r="W12">
        <v>35.473757866248299</v>
      </c>
      <c r="X12">
        <v>37.615129400667414</v>
      </c>
      <c r="Y12">
        <v>35.220285259573899</v>
      </c>
      <c r="Z12">
        <v>36.716321851703341</v>
      </c>
      <c r="AA12">
        <v>37.053394683151637</v>
      </c>
      <c r="AB12">
        <v>34.903827069175371</v>
      </c>
      <c r="AC12">
        <v>37.636358268434073</v>
      </c>
      <c r="AD12">
        <v>37.230719715502467</v>
      </c>
      <c r="AE12">
        <v>36.363355554437398</v>
      </c>
      <c r="AF12">
        <v>38.523091149529421</v>
      </c>
      <c r="AG12">
        <v>36.533296269869027</v>
      </c>
      <c r="AH12">
        <v>35.933726592696857</v>
      </c>
      <c r="AI12">
        <v>37.059957313562172</v>
      </c>
      <c r="AJ12">
        <v>38.793258677938297</v>
      </c>
      <c r="AK12">
        <v>37.36246161352129</v>
      </c>
      <c r="AL12">
        <v>37.717440319843703</v>
      </c>
    </row>
    <row r="13" spans="1:38" x14ac:dyDescent="0.2">
      <c r="A13" s="1">
        <v>32</v>
      </c>
      <c r="B13">
        <v>105220.83826311229</v>
      </c>
      <c r="C13">
        <v>65.743355248320881</v>
      </c>
      <c r="D13">
        <v>11074.45218719775</v>
      </c>
      <c r="E13">
        <v>331526.19011580618</v>
      </c>
      <c r="F13">
        <v>47.326016151847583</v>
      </c>
      <c r="G13">
        <v>60.828661077222293</v>
      </c>
      <c r="H13">
        <v>85715.388554346588</v>
      </c>
      <c r="I13">
        <v>44</v>
      </c>
      <c r="J13">
        <v>35.556587598422531</v>
      </c>
      <c r="K13">
        <v>50.714814993730982</v>
      </c>
      <c r="L13">
        <v>37.904440403937528</v>
      </c>
      <c r="M13">
        <v>30.941960788398742</v>
      </c>
      <c r="N13">
        <v>76.786611396417058</v>
      </c>
      <c r="O13">
        <v>37.300417087196948</v>
      </c>
      <c r="P13">
        <v>36.964913353975028</v>
      </c>
      <c r="Q13">
        <v>38.42477596174367</v>
      </c>
      <c r="R13">
        <v>42.212280089254442</v>
      </c>
      <c r="S13">
        <v>39.014961143138009</v>
      </c>
      <c r="T13">
        <v>35.633867533028173</v>
      </c>
      <c r="U13">
        <v>38.228677131535157</v>
      </c>
      <c r="V13">
        <v>37.649570049066753</v>
      </c>
      <c r="W13">
        <v>34.9513675830854</v>
      </c>
      <c r="X13">
        <v>36.835489882530567</v>
      </c>
      <c r="Y13">
        <v>35.099871357675113</v>
      </c>
      <c r="Z13">
        <v>36.427414521464677</v>
      </c>
      <c r="AA13">
        <v>36.75389021383684</v>
      </c>
      <c r="AB13">
        <v>34.898623073622659</v>
      </c>
      <c r="AC13">
        <v>37.584364756860943</v>
      </c>
      <c r="AD13">
        <v>37.311309115573813</v>
      </c>
      <c r="AE13">
        <v>36.161175339539398</v>
      </c>
      <c r="AF13">
        <v>38.82423099835934</v>
      </c>
      <c r="AG13">
        <v>36.33466882218373</v>
      </c>
      <c r="AH13">
        <v>36.411687760368473</v>
      </c>
      <c r="AI13">
        <v>37.433706440039892</v>
      </c>
      <c r="AJ13">
        <v>39.073258315630468</v>
      </c>
      <c r="AK13">
        <v>37.768373667623493</v>
      </c>
      <c r="AL13">
        <v>37.74480901537332</v>
      </c>
    </row>
    <row r="14" spans="1:38" x14ac:dyDescent="0.2">
      <c r="A14" s="1">
        <v>33</v>
      </c>
      <c r="B14">
        <v>101899.3879863367</v>
      </c>
      <c r="C14">
        <v>64.924507599865237</v>
      </c>
      <c r="D14">
        <v>11137.645607059019</v>
      </c>
      <c r="E14">
        <v>331100.19206736109</v>
      </c>
      <c r="F14">
        <v>44.468767117854753</v>
      </c>
      <c r="G14">
        <v>60.711295036163747</v>
      </c>
      <c r="H14">
        <v>84982.252129880071</v>
      </c>
      <c r="I14">
        <v>44</v>
      </c>
      <c r="J14">
        <v>36.123855220377543</v>
      </c>
      <c r="K14">
        <v>51.048419184035197</v>
      </c>
      <c r="L14">
        <v>37.3594230863619</v>
      </c>
      <c r="M14">
        <v>31.096885230589901</v>
      </c>
      <c r="N14">
        <v>77.18594403564606</v>
      </c>
      <c r="O14">
        <v>37.415695081599978</v>
      </c>
      <c r="P14">
        <v>37.067760750688628</v>
      </c>
      <c r="Q14">
        <v>38.125421601171823</v>
      </c>
      <c r="R14">
        <v>42.142811569352652</v>
      </c>
      <c r="S14">
        <v>38.732132548216732</v>
      </c>
      <c r="T14">
        <v>35.645876919094682</v>
      </c>
      <c r="U14">
        <v>38.267197869820599</v>
      </c>
      <c r="V14">
        <v>37.854859870294199</v>
      </c>
      <c r="W14">
        <v>35.735611306315093</v>
      </c>
      <c r="X14">
        <v>37.69919506647603</v>
      </c>
      <c r="Y14">
        <v>35.758433070024907</v>
      </c>
      <c r="Z14">
        <v>37.425907927202189</v>
      </c>
      <c r="AA14">
        <v>37.284822870807872</v>
      </c>
      <c r="AB14">
        <v>35.374828742073639</v>
      </c>
      <c r="AC14">
        <v>38.015698971727488</v>
      </c>
      <c r="AD14">
        <v>37.801086735641043</v>
      </c>
      <c r="AE14">
        <v>36.497500504195287</v>
      </c>
      <c r="AF14">
        <v>38.927760443458737</v>
      </c>
      <c r="AG14">
        <v>36.640137853436187</v>
      </c>
      <c r="AH14">
        <v>36.350776294952041</v>
      </c>
      <c r="AI14">
        <v>37.025639744512368</v>
      </c>
      <c r="AJ14">
        <v>37.983584359858853</v>
      </c>
      <c r="AK14">
        <v>37.597650354860377</v>
      </c>
      <c r="AL14">
        <v>37.030265149363863</v>
      </c>
    </row>
    <row r="15" spans="1:38" x14ac:dyDescent="0.2">
      <c r="A15" s="1">
        <v>34</v>
      </c>
      <c r="B15">
        <v>100982.81153448339</v>
      </c>
      <c r="C15">
        <v>65.444693642187517</v>
      </c>
      <c r="D15">
        <v>10831.40217598577</v>
      </c>
      <c r="E15">
        <v>327319.35615900188</v>
      </c>
      <c r="F15">
        <v>47.403938262536258</v>
      </c>
      <c r="G15">
        <v>59.22036098828714</v>
      </c>
      <c r="H15">
        <v>83676.984754847304</v>
      </c>
      <c r="I15">
        <v>44</v>
      </c>
      <c r="J15">
        <v>35.515466799575513</v>
      </c>
      <c r="K15">
        <v>50.255841859611181</v>
      </c>
      <c r="L15">
        <v>37.525620895990492</v>
      </c>
      <c r="M15">
        <v>30.880866797477029</v>
      </c>
      <c r="N15">
        <v>77.464058341355084</v>
      </c>
      <c r="O15">
        <v>37.521478590016642</v>
      </c>
      <c r="P15">
        <v>36.90790251731795</v>
      </c>
      <c r="Q15">
        <v>38.279404415851197</v>
      </c>
      <c r="R15">
        <v>42.385588488870432</v>
      </c>
      <c r="S15">
        <v>38.83991168766044</v>
      </c>
      <c r="T15">
        <v>35.667412276769852</v>
      </c>
      <c r="U15">
        <v>38.007459394940909</v>
      </c>
      <c r="V15">
        <v>38.035980893402943</v>
      </c>
      <c r="W15">
        <v>35.215999237667383</v>
      </c>
      <c r="X15">
        <v>37.312574308299787</v>
      </c>
      <c r="Y15">
        <v>35.130988689554158</v>
      </c>
      <c r="Z15">
        <v>36.523495114886138</v>
      </c>
      <c r="AA15">
        <v>37.061736995559137</v>
      </c>
      <c r="AB15">
        <v>34.605585787193107</v>
      </c>
      <c r="AC15">
        <v>37.443022512458768</v>
      </c>
      <c r="AD15">
        <v>37.172131799167843</v>
      </c>
      <c r="AE15">
        <v>36.002044283989648</v>
      </c>
      <c r="AF15">
        <v>38.388010121793457</v>
      </c>
      <c r="AG15">
        <v>36.280739227243558</v>
      </c>
      <c r="AH15">
        <v>36.104344416651607</v>
      </c>
      <c r="AI15">
        <v>36.906798925830557</v>
      </c>
      <c r="AJ15">
        <v>38.074615824409229</v>
      </c>
      <c r="AK15">
        <v>37.147909108778848</v>
      </c>
      <c r="AL15">
        <v>36.911270270761442</v>
      </c>
    </row>
    <row r="16" spans="1:38" x14ac:dyDescent="0.2">
      <c r="A16" s="1">
        <v>35</v>
      </c>
      <c r="B16">
        <v>103808.66852838481</v>
      </c>
      <c r="C16">
        <v>66.276598027897293</v>
      </c>
      <c r="D16">
        <v>11134.562040027289</v>
      </c>
      <c r="E16">
        <v>331001.12226126931</v>
      </c>
      <c r="F16">
        <v>45.208117669500567</v>
      </c>
      <c r="G16">
        <v>54.535785050626167</v>
      </c>
      <c r="H16">
        <v>85074.886659469048</v>
      </c>
      <c r="I16">
        <v>44</v>
      </c>
      <c r="J16">
        <v>36.155995029988077</v>
      </c>
      <c r="K16">
        <v>50.578721648753401</v>
      </c>
      <c r="L16">
        <v>38.083554079082752</v>
      </c>
      <c r="M16">
        <v>31.249931909007149</v>
      </c>
      <c r="N16">
        <v>77.659262529621159</v>
      </c>
      <c r="O16">
        <v>37.59748189514896</v>
      </c>
      <c r="P16">
        <v>37.310295883002532</v>
      </c>
      <c r="Q16">
        <v>38.730674706036517</v>
      </c>
      <c r="R16">
        <v>42.724551089739627</v>
      </c>
      <c r="S16">
        <v>39.403853887284463</v>
      </c>
      <c r="T16">
        <v>35.739814758926187</v>
      </c>
      <c r="U16">
        <v>38.111607203365963</v>
      </c>
      <c r="V16">
        <v>37.903809410205362</v>
      </c>
      <c r="W16">
        <v>35.242480846683428</v>
      </c>
      <c r="X16">
        <v>37.388324901153233</v>
      </c>
      <c r="Y16">
        <v>35.392409638770992</v>
      </c>
      <c r="Z16">
        <v>37.199354233354541</v>
      </c>
      <c r="AA16">
        <v>37.342295447654919</v>
      </c>
      <c r="AB16">
        <v>35.34216706132689</v>
      </c>
      <c r="AC16">
        <v>37.922243365519151</v>
      </c>
      <c r="AD16">
        <v>37.774331752400002</v>
      </c>
      <c r="AE16">
        <v>36.476609881891662</v>
      </c>
      <c r="AF16">
        <v>38.753240074735281</v>
      </c>
      <c r="AG16">
        <v>36.639324572826638</v>
      </c>
      <c r="AH16">
        <v>36.641903711954448</v>
      </c>
      <c r="AI16">
        <v>37.528756897486382</v>
      </c>
      <c r="AJ16">
        <v>38.990176925170708</v>
      </c>
      <c r="AK16">
        <v>37.883697484562731</v>
      </c>
      <c r="AL16">
        <v>37.942894878094123</v>
      </c>
    </row>
    <row r="17" spans="1:38" x14ac:dyDescent="0.2">
      <c r="A17" s="1">
        <v>36</v>
      </c>
      <c r="B17">
        <v>102699.1928766952</v>
      </c>
      <c r="C17">
        <v>65.716745127076067</v>
      </c>
      <c r="D17">
        <v>11104.12267333582</v>
      </c>
      <c r="E17">
        <v>329599.72756557987</v>
      </c>
      <c r="F17">
        <v>49.016138116574183</v>
      </c>
      <c r="G17">
        <v>54.201677149821514</v>
      </c>
      <c r="H17">
        <v>85186.307082793501</v>
      </c>
      <c r="I17">
        <v>44</v>
      </c>
      <c r="J17">
        <v>35.576308999900633</v>
      </c>
      <c r="K17">
        <v>49.032869620139387</v>
      </c>
      <c r="L17">
        <v>37.329677580409779</v>
      </c>
      <c r="M17">
        <v>30.898340394497481</v>
      </c>
      <c r="N17">
        <v>78.04993825670843</v>
      </c>
      <c r="O17">
        <v>37.386329288098267</v>
      </c>
      <c r="P17">
        <v>37.133776675267782</v>
      </c>
      <c r="Q17">
        <v>38.449843726494073</v>
      </c>
      <c r="R17">
        <v>42.971675172504142</v>
      </c>
      <c r="S17">
        <v>39.262731853773452</v>
      </c>
      <c r="T17">
        <v>35.634244125545258</v>
      </c>
      <c r="U17">
        <v>38.21975294379525</v>
      </c>
      <c r="V17">
        <v>37.663368902136739</v>
      </c>
      <c r="W17">
        <v>35.31794152938275</v>
      </c>
      <c r="X17">
        <v>37.319456662519158</v>
      </c>
      <c r="Y17">
        <v>35.657432948349367</v>
      </c>
      <c r="Z17">
        <v>37.131287286021028</v>
      </c>
      <c r="AA17">
        <v>37.351871507698867</v>
      </c>
      <c r="AB17">
        <v>35.328154644230601</v>
      </c>
      <c r="AC17">
        <v>37.897517777794803</v>
      </c>
      <c r="AD17">
        <v>37.494012583818581</v>
      </c>
      <c r="AE17">
        <v>36.372946131645783</v>
      </c>
      <c r="AF17">
        <v>38.525141845839208</v>
      </c>
      <c r="AG17">
        <v>36.649003591165979</v>
      </c>
      <c r="AH17">
        <v>36.865253492195329</v>
      </c>
      <c r="AI17">
        <v>37.356877596230483</v>
      </c>
      <c r="AJ17">
        <v>38.545372210380698</v>
      </c>
      <c r="AK17">
        <v>37.787834228787048</v>
      </c>
      <c r="AL17">
        <v>37.765861343000438</v>
      </c>
    </row>
    <row r="18" spans="1:38" x14ac:dyDescent="0.2">
      <c r="A18" s="1">
        <v>37</v>
      </c>
      <c r="B18">
        <v>103173.390330207</v>
      </c>
      <c r="C18">
        <v>64.706689080062375</v>
      </c>
      <c r="D18">
        <v>11038.95265558278</v>
      </c>
      <c r="E18">
        <v>322196.01250570529</v>
      </c>
      <c r="F18">
        <v>49.654311300494271</v>
      </c>
      <c r="G18">
        <v>51.616347713951818</v>
      </c>
      <c r="H18">
        <v>84747.751463094988</v>
      </c>
      <c r="I18">
        <v>44</v>
      </c>
      <c r="J18">
        <v>35.235255274132612</v>
      </c>
      <c r="K18">
        <v>49.701332951153702</v>
      </c>
      <c r="L18">
        <v>37.314954488873383</v>
      </c>
      <c r="M18">
        <v>30.70292916027649</v>
      </c>
      <c r="N18">
        <v>76.661353796882125</v>
      </c>
      <c r="O18">
        <v>38.481024127656831</v>
      </c>
      <c r="P18">
        <v>37.743928461644487</v>
      </c>
      <c r="Q18">
        <v>37.894002456815052</v>
      </c>
      <c r="R18">
        <v>42.129490635945487</v>
      </c>
      <c r="S18">
        <v>38.650229687382897</v>
      </c>
      <c r="T18">
        <v>35.859377991786793</v>
      </c>
      <c r="U18">
        <v>37.904255658419707</v>
      </c>
      <c r="V18">
        <v>37.721449603474859</v>
      </c>
      <c r="W18">
        <v>35.590662064119478</v>
      </c>
      <c r="X18">
        <v>38.021115831631192</v>
      </c>
      <c r="Y18">
        <v>35.683310573017287</v>
      </c>
      <c r="Z18">
        <v>37.86189423642012</v>
      </c>
      <c r="AA18">
        <v>37.905708580669547</v>
      </c>
      <c r="AB18">
        <v>35.932040083369849</v>
      </c>
      <c r="AC18">
        <v>38.914322456714117</v>
      </c>
      <c r="AD18">
        <v>38.480859606706133</v>
      </c>
      <c r="AE18">
        <v>37.240119551584051</v>
      </c>
      <c r="AF18">
        <v>39.508576813618582</v>
      </c>
      <c r="AG18">
        <v>37.650526367090777</v>
      </c>
      <c r="AH18">
        <v>37.444934527794743</v>
      </c>
      <c r="AI18">
        <v>37.822092367752369</v>
      </c>
      <c r="AJ18">
        <v>38.486550634295192</v>
      </c>
      <c r="AK18">
        <v>38.347371952566078</v>
      </c>
      <c r="AL18">
        <v>37.460508452384452</v>
      </c>
    </row>
    <row r="19" spans="1:38" x14ac:dyDescent="0.2">
      <c r="A19" s="1">
        <v>38</v>
      </c>
      <c r="B19">
        <v>101103.8809159589</v>
      </c>
      <c r="C19">
        <v>65.662170013359528</v>
      </c>
      <c r="D19">
        <v>11158.45238499371</v>
      </c>
      <c r="E19">
        <v>330147.04524142842</v>
      </c>
      <c r="F19">
        <v>48.850478365224227</v>
      </c>
      <c r="G19">
        <v>52.759485670805653</v>
      </c>
      <c r="H19">
        <v>85732.572179403825</v>
      </c>
      <c r="I19">
        <v>44</v>
      </c>
      <c r="J19">
        <v>35.831045532612457</v>
      </c>
      <c r="K19">
        <v>50.914815142704143</v>
      </c>
      <c r="L19">
        <v>38.757371703962157</v>
      </c>
      <c r="M19">
        <v>31.60831830162499</v>
      </c>
      <c r="N19">
        <v>79.078892926649232</v>
      </c>
      <c r="O19">
        <v>38.663431027970667</v>
      </c>
      <c r="P19">
        <v>38.146208421984817</v>
      </c>
      <c r="Q19">
        <v>39.145017146070188</v>
      </c>
      <c r="R19">
        <v>43.304745325363697</v>
      </c>
      <c r="S19">
        <v>39.783244876410841</v>
      </c>
      <c r="T19">
        <v>36.648768905504546</v>
      </c>
      <c r="U19">
        <v>39.17261165415551</v>
      </c>
      <c r="V19">
        <v>38.931346728812457</v>
      </c>
      <c r="W19">
        <v>36.259615841139983</v>
      </c>
      <c r="X19">
        <v>38.344629330700243</v>
      </c>
      <c r="Y19">
        <v>36.150764335769381</v>
      </c>
      <c r="Z19">
        <v>38.204501068515746</v>
      </c>
      <c r="AA19">
        <v>38.297634500139957</v>
      </c>
      <c r="AB19">
        <v>36.152668178525239</v>
      </c>
      <c r="AC19">
        <v>39.069980271667532</v>
      </c>
      <c r="AD19">
        <v>38.87085282968544</v>
      </c>
      <c r="AE19">
        <v>37.361955679102131</v>
      </c>
      <c r="AF19">
        <v>39.849650486074381</v>
      </c>
      <c r="AG19">
        <v>37.921103523951622</v>
      </c>
      <c r="AH19">
        <v>37.216437848775669</v>
      </c>
      <c r="AI19">
        <v>38.127378974436517</v>
      </c>
      <c r="AJ19">
        <v>38.83852406025941</v>
      </c>
      <c r="AK19">
        <v>38.304217088227091</v>
      </c>
      <c r="AL19">
        <v>37.933242716791852</v>
      </c>
    </row>
    <row r="23" spans="1:38" x14ac:dyDescent="0.2">
      <c r="A23" s="2" t="s">
        <v>37</v>
      </c>
      <c r="B23" s="3">
        <v>103858</v>
      </c>
      <c r="C23" s="3">
        <v>68</v>
      </c>
      <c r="D23" s="3">
        <v>11167</v>
      </c>
      <c r="E23" s="3">
        <v>336061</v>
      </c>
      <c r="F23" s="3">
        <v>46.6</v>
      </c>
      <c r="G23" s="3">
        <v>62.3</v>
      </c>
      <c r="H23" s="3">
        <v>85002</v>
      </c>
      <c r="I23" s="3">
        <v>44</v>
      </c>
      <c r="J23" s="3">
        <v>36.4</v>
      </c>
      <c r="K23" s="3">
        <v>51</v>
      </c>
      <c r="L23" s="3">
        <v>38.799999999999997</v>
      </c>
      <c r="M23" s="3">
        <v>31.4</v>
      </c>
      <c r="N23" s="3">
        <v>78.400000000000006</v>
      </c>
      <c r="O23" s="3">
        <v>38.299999999999997</v>
      </c>
      <c r="P23" s="3">
        <v>37.9</v>
      </c>
      <c r="Q23" s="3">
        <v>38.9</v>
      </c>
      <c r="R23" s="3">
        <v>42.7</v>
      </c>
      <c r="S23" s="3">
        <v>39.299999999999997</v>
      </c>
      <c r="T23" s="3">
        <v>36</v>
      </c>
      <c r="U23" s="3">
        <v>38.4</v>
      </c>
      <c r="V23" s="3">
        <v>37.9</v>
      </c>
      <c r="W23" s="3">
        <v>35.5</v>
      </c>
      <c r="X23" s="3">
        <v>37.700000000000003</v>
      </c>
      <c r="Y23" s="3">
        <v>35.6</v>
      </c>
      <c r="Z23" s="3">
        <v>37.299999999999997</v>
      </c>
      <c r="AA23" s="3">
        <v>37.6</v>
      </c>
      <c r="AB23" s="3">
        <v>35.5</v>
      </c>
      <c r="AC23" s="3">
        <v>38.299999999999997</v>
      </c>
      <c r="AD23" s="3">
        <v>38</v>
      </c>
      <c r="AE23" s="3">
        <v>36.799999999999997</v>
      </c>
      <c r="AF23" s="3">
        <v>39.200000000000003</v>
      </c>
      <c r="AG23" s="3">
        <v>37</v>
      </c>
      <c r="AH23" s="3">
        <v>36.700000000000003</v>
      </c>
      <c r="AI23" s="3">
        <v>37.6</v>
      </c>
      <c r="AJ23" s="3">
        <v>38.57</v>
      </c>
      <c r="AK23" s="3">
        <v>37.79</v>
      </c>
      <c r="AL23" s="3">
        <v>37.380000000000003</v>
      </c>
    </row>
    <row r="24" spans="1:38" x14ac:dyDescent="0.2">
      <c r="A24" s="4" t="s">
        <v>38</v>
      </c>
      <c r="B24" s="3">
        <v>0</v>
      </c>
      <c r="C24" s="3">
        <v>5.0999999999999996</v>
      </c>
      <c r="D24" s="3">
        <v>0</v>
      </c>
      <c r="E24" s="3">
        <v>0</v>
      </c>
      <c r="F24" s="3">
        <v>6.9</v>
      </c>
      <c r="G24" s="3">
        <v>2.4</v>
      </c>
      <c r="H24" s="3">
        <v>0</v>
      </c>
      <c r="I24" s="3">
        <v>2.2999999999999998</v>
      </c>
      <c r="J24" s="3">
        <v>1.5</v>
      </c>
      <c r="K24" s="3">
        <v>2</v>
      </c>
      <c r="L24" s="3">
        <v>0.2</v>
      </c>
      <c r="M24" s="3">
        <v>0.4</v>
      </c>
      <c r="N24" s="3">
        <v>0.2</v>
      </c>
      <c r="O24" s="3">
        <v>1.4</v>
      </c>
      <c r="P24" s="3">
        <v>1.2</v>
      </c>
      <c r="Q24" s="3">
        <v>2.1</v>
      </c>
      <c r="R24" s="3">
        <v>1.8</v>
      </c>
      <c r="S24" s="3">
        <v>0.9</v>
      </c>
      <c r="T24" s="3">
        <v>0.7</v>
      </c>
      <c r="U24" s="3">
        <v>0.7</v>
      </c>
      <c r="V24" s="3">
        <v>1</v>
      </c>
      <c r="W24" s="3">
        <v>0.7</v>
      </c>
      <c r="X24" s="3">
        <v>0.8</v>
      </c>
      <c r="Y24" s="3">
        <v>0.8</v>
      </c>
      <c r="Z24" s="3">
        <v>0.9</v>
      </c>
      <c r="AA24" s="3">
        <v>1.1000000000000001</v>
      </c>
      <c r="AB24" s="3">
        <v>0.7</v>
      </c>
      <c r="AC24" s="3">
        <v>0.8</v>
      </c>
      <c r="AD24" s="3">
        <v>0.9</v>
      </c>
      <c r="AE24" s="3">
        <v>0.6</v>
      </c>
      <c r="AF24" s="3">
        <v>0.9</v>
      </c>
      <c r="AG24" s="3">
        <v>0.9</v>
      </c>
      <c r="AH24" s="3">
        <v>1.2</v>
      </c>
      <c r="AI24" s="3">
        <v>1.9</v>
      </c>
      <c r="AJ24" s="3">
        <v>0.2</v>
      </c>
      <c r="AK24" s="3">
        <v>0.08</v>
      </c>
      <c r="AL24" s="3">
        <v>0.08</v>
      </c>
    </row>
    <row r="25" spans="1:38" x14ac:dyDescent="0.2">
      <c r="B25">
        <f>AVERAGE(B3:B19)</f>
        <v>103631.13332596135</v>
      </c>
      <c r="C25">
        <f t="shared" ref="C25:AL25" si="0">AVERAGE(C3:C19)</f>
        <v>67.587252337889254</v>
      </c>
      <c r="D25">
        <f t="shared" si="0"/>
        <v>11161.980838782725</v>
      </c>
      <c r="E25">
        <f t="shared" si="0"/>
        <v>336125.61475661979</v>
      </c>
      <c r="F25">
        <f t="shared" si="0"/>
        <v>46.885078390933906</v>
      </c>
      <c r="G25">
        <f t="shared" si="0"/>
        <v>60.928666629522255</v>
      </c>
      <c r="H25">
        <f t="shared" si="0"/>
        <v>84955.932607457275</v>
      </c>
      <c r="I25">
        <f t="shared" si="0"/>
        <v>44</v>
      </c>
      <c r="J25">
        <f t="shared" si="0"/>
        <v>36.301522133307827</v>
      </c>
      <c r="K25">
        <f t="shared" si="0"/>
        <v>51.033557037444588</v>
      </c>
      <c r="L25">
        <f t="shared" si="0"/>
        <v>38.661521304848947</v>
      </c>
      <c r="M25">
        <f t="shared" si="0"/>
        <v>31.374674912289105</v>
      </c>
      <c r="N25">
        <f t="shared" si="0"/>
        <v>78.286247409770198</v>
      </c>
      <c r="O25">
        <f t="shared" si="0"/>
        <v>38.189363387421587</v>
      </c>
      <c r="P25">
        <f t="shared" si="0"/>
        <v>37.770508645503085</v>
      </c>
      <c r="Q25">
        <f t="shared" si="0"/>
        <v>38.810549913619859</v>
      </c>
      <c r="R25">
        <f t="shared" si="0"/>
        <v>42.711029449976024</v>
      </c>
      <c r="S25">
        <f t="shared" si="0"/>
        <v>39.289019282265023</v>
      </c>
      <c r="T25">
        <f t="shared" si="0"/>
        <v>35.976515105828796</v>
      </c>
      <c r="U25">
        <f t="shared" si="0"/>
        <v>38.409219932214683</v>
      </c>
      <c r="V25">
        <f t="shared" si="0"/>
        <v>37.927766210242254</v>
      </c>
      <c r="W25">
        <f t="shared" si="0"/>
        <v>35.537815318136616</v>
      </c>
      <c r="X25">
        <f t="shared" si="0"/>
        <v>37.698433220919831</v>
      </c>
      <c r="Y25">
        <f t="shared" si="0"/>
        <v>35.588417322995944</v>
      </c>
      <c r="Z25">
        <f t="shared" si="0"/>
        <v>37.271243842210566</v>
      </c>
      <c r="AA25">
        <f t="shared" si="0"/>
        <v>37.583858335029916</v>
      </c>
      <c r="AB25">
        <f t="shared" si="0"/>
        <v>35.458581894427439</v>
      </c>
      <c r="AC25">
        <f t="shared" si="0"/>
        <v>38.241511816448522</v>
      </c>
      <c r="AD25">
        <f t="shared" si="0"/>
        <v>37.949554187219348</v>
      </c>
      <c r="AE25">
        <f t="shared" si="0"/>
        <v>36.767250923716013</v>
      </c>
      <c r="AF25">
        <f t="shared" si="0"/>
        <v>39.154774143487749</v>
      </c>
      <c r="AG25">
        <f t="shared" si="0"/>
        <v>36.969497080152557</v>
      </c>
      <c r="AH25">
        <f t="shared" si="0"/>
        <v>36.677460212007794</v>
      </c>
      <c r="AI25">
        <f t="shared" si="0"/>
        <v>37.570771160787146</v>
      </c>
      <c r="AJ25">
        <f t="shared" si="0"/>
        <v>38.630994286017959</v>
      </c>
      <c r="AK25">
        <f t="shared" si="0"/>
        <v>37.822348223977528</v>
      </c>
      <c r="AL25">
        <f t="shared" si="0"/>
        <v>37.478565922831251</v>
      </c>
    </row>
    <row r="26" spans="1:38" x14ac:dyDescent="0.2">
      <c r="B26">
        <f>B25/B23</f>
        <v>0.99781560713629514</v>
      </c>
      <c r="C26">
        <f t="shared" ref="C26:AL26" si="1">C25/C23</f>
        <v>0.99393018143954781</v>
      </c>
      <c r="D26">
        <f t="shared" si="1"/>
        <v>0.99955053629289203</v>
      </c>
      <c r="E26">
        <f t="shared" si="1"/>
        <v>1.000192270916946</v>
      </c>
      <c r="F26">
        <f t="shared" si="1"/>
        <v>1.0061175620372083</v>
      </c>
      <c r="G26">
        <f t="shared" si="1"/>
        <v>0.97798822840324651</v>
      </c>
      <c r="H26">
        <f t="shared" si="1"/>
        <v>0.99945804342788724</v>
      </c>
      <c r="I26">
        <f t="shared" si="1"/>
        <v>1</v>
      </c>
      <c r="J26">
        <f t="shared" si="1"/>
        <v>0.99729456410186346</v>
      </c>
      <c r="K26">
        <f t="shared" si="1"/>
        <v>1.0006579811263645</v>
      </c>
      <c r="L26">
        <f t="shared" si="1"/>
        <v>0.99643096146517907</v>
      </c>
      <c r="M26">
        <f t="shared" si="1"/>
        <v>0.99919346854423907</v>
      </c>
      <c r="N26">
        <f t="shared" si="1"/>
        <v>0.99854907410421168</v>
      </c>
      <c r="O26">
        <f t="shared" si="1"/>
        <v>0.99711131559847488</v>
      </c>
      <c r="P26">
        <f t="shared" si="1"/>
        <v>0.99658334157000228</v>
      </c>
      <c r="Q26">
        <f t="shared" si="1"/>
        <v>0.99770051191824838</v>
      </c>
      <c r="R26">
        <f t="shared" si="1"/>
        <v>1.0002583009362065</v>
      </c>
      <c r="S26">
        <f t="shared" si="1"/>
        <v>0.99972059242404643</v>
      </c>
      <c r="T26">
        <f t="shared" si="1"/>
        <v>0.9993476418285776</v>
      </c>
      <c r="U26">
        <f t="shared" si="1"/>
        <v>1.000240102401424</v>
      </c>
      <c r="V26">
        <f t="shared" si="1"/>
        <v>1.0007326176844922</v>
      </c>
      <c r="W26">
        <f t="shared" si="1"/>
        <v>1.0010652202292005</v>
      </c>
      <c r="X26">
        <f t="shared" si="1"/>
        <v>0.99995844087320496</v>
      </c>
      <c r="Y26">
        <f t="shared" si="1"/>
        <v>0.99967464390438043</v>
      </c>
      <c r="Z26">
        <f t="shared" si="1"/>
        <v>0.9992290574319187</v>
      </c>
      <c r="AA26">
        <f t="shared" si="1"/>
        <v>0.99957070039973173</v>
      </c>
      <c r="AB26">
        <f t="shared" si="1"/>
        <v>0.99883329280077293</v>
      </c>
      <c r="AC26">
        <f t="shared" si="1"/>
        <v>0.99847289337985701</v>
      </c>
      <c r="AD26">
        <f t="shared" si="1"/>
        <v>0.99867247861103547</v>
      </c>
      <c r="AE26">
        <f t="shared" si="1"/>
        <v>0.99911007944880481</v>
      </c>
      <c r="AF26">
        <f t="shared" si="1"/>
        <v>0.99884627917060576</v>
      </c>
      <c r="AG26">
        <f t="shared" si="1"/>
        <v>0.99917559676087997</v>
      </c>
      <c r="AH26">
        <f t="shared" si="1"/>
        <v>0.99938583683944937</v>
      </c>
      <c r="AI26">
        <f t="shared" si="1"/>
        <v>0.99922263725497729</v>
      </c>
      <c r="AJ26">
        <f t="shared" si="1"/>
        <v>1.001581391911277</v>
      </c>
      <c r="AK26">
        <f t="shared" si="1"/>
        <v>1.0008559995760129</v>
      </c>
      <c r="AL26">
        <f t="shared" si="1"/>
        <v>1.0026368625690543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Towbin</cp:lastModifiedBy>
  <dcterms:created xsi:type="dcterms:W3CDTF">2025-02-20T19:18:54Z</dcterms:created>
  <dcterms:modified xsi:type="dcterms:W3CDTF">2025-02-21T13:01:57Z</dcterms:modified>
</cp:coreProperties>
</file>