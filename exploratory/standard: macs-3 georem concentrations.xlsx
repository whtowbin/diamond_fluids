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wtowbin/Projects/Diamond Forming Fluids/diamond_fluids/standard:"/>
    </mc:Choice>
  </mc:AlternateContent>
  <xr:revisionPtr revIDLastSave="0" documentId="13_ncr:1_{A26D3FDB-DD8B-7E43-B05B-F9095E342140}" xr6:coauthVersionLast="47" xr6:coauthVersionMax="47" xr10:uidLastSave="{00000000-0000-0000-0000-000000000000}"/>
  <bookViews>
    <workbookView xWindow="9240" yWindow="1120" windowWidth="29400" windowHeight="18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D25" i="1"/>
  <c r="D26" i="1" s="1"/>
  <c r="E25" i="1"/>
  <c r="F25" i="1"/>
  <c r="G25" i="1"/>
  <c r="G26" i="1" s="1"/>
  <c r="H25" i="1"/>
  <c r="H26" i="1" s="1"/>
  <c r="I25" i="1"/>
  <c r="I26" i="1" s="1"/>
  <c r="J25" i="1"/>
  <c r="J26" i="1" s="1"/>
  <c r="K25" i="1"/>
  <c r="L25" i="1"/>
  <c r="M25" i="1"/>
  <c r="N25" i="1"/>
  <c r="O25" i="1"/>
  <c r="O26" i="1" s="1"/>
  <c r="P25" i="1"/>
  <c r="P26" i="1" s="1"/>
  <c r="Q25" i="1"/>
  <c r="Q26" i="1" s="1"/>
  <c r="R25" i="1"/>
  <c r="R26" i="1" s="1"/>
  <c r="S25" i="1"/>
  <c r="T25" i="1"/>
  <c r="U25" i="1"/>
  <c r="V25" i="1"/>
  <c r="W25" i="1"/>
  <c r="W26" i="1" s="1"/>
  <c r="X25" i="1"/>
  <c r="X26" i="1" s="1"/>
  <c r="Y25" i="1"/>
  <c r="Y26" i="1" s="1"/>
  <c r="Z25" i="1"/>
  <c r="Z26" i="1" s="1"/>
  <c r="AA25" i="1"/>
  <c r="AB25" i="1"/>
  <c r="AC25" i="1"/>
  <c r="AD25" i="1"/>
  <c r="AE25" i="1"/>
  <c r="AE26" i="1" s="1"/>
  <c r="AF25" i="1"/>
  <c r="AF26" i="1" s="1"/>
  <c r="AG25" i="1"/>
  <c r="AG26" i="1" s="1"/>
  <c r="AH25" i="1"/>
  <c r="AH26" i="1" s="1"/>
  <c r="AI25" i="1"/>
  <c r="AJ25" i="1"/>
  <c r="AK25" i="1"/>
  <c r="AL25" i="1"/>
  <c r="C26" i="1"/>
  <c r="E26" i="1"/>
  <c r="F26" i="1"/>
  <c r="K26" i="1"/>
  <c r="L26" i="1"/>
  <c r="M26" i="1"/>
  <c r="N26" i="1"/>
  <c r="S26" i="1"/>
  <c r="T26" i="1"/>
  <c r="U26" i="1"/>
  <c r="V26" i="1"/>
  <c r="AA26" i="1"/>
  <c r="AB26" i="1"/>
  <c r="AC26" i="1"/>
  <c r="AD26" i="1"/>
  <c r="AI26" i="1"/>
  <c r="AJ26" i="1"/>
  <c r="AK26" i="1"/>
  <c r="AL26" i="1"/>
  <c r="B26" i="1"/>
  <c r="B25" i="1"/>
</calcChain>
</file>

<file path=xl/sharedStrings.xml><?xml version="1.0" encoding="utf-8"?>
<sst xmlns="http://schemas.openxmlformats.org/spreadsheetml/2006/main" count="77" uniqueCount="40">
  <si>
    <t>Na</t>
  </si>
  <si>
    <t>Mg</t>
  </si>
  <si>
    <t>Al</t>
  </si>
  <si>
    <t>Si</t>
  </si>
  <si>
    <t>P</t>
  </si>
  <si>
    <t>K</t>
  </si>
  <si>
    <t>Ca</t>
  </si>
  <si>
    <t>Ti</t>
  </si>
  <si>
    <t>Cr</t>
  </si>
  <si>
    <t>Fe</t>
  </si>
  <si>
    <t>Ni</t>
  </si>
  <si>
    <t>Rb</t>
  </si>
  <si>
    <t>Sr</t>
  </si>
  <si>
    <t>Y</t>
  </si>
  <si>
    <t>Zr</t>
  </si>
  <si>
    <t>Nb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</si>
  <si>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</si>
  <si>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</si>
  <si>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</si>
  <si>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</si>
  <si>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</si>
  <si>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</si>
  <si>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</si>
  <si>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</si>
  <si>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</si>
  <si>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</si>
  <si>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</si>
  <si>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</si>
  <si>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</si>
  <si>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</si>
  <si>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</si>
  <si>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</si>
  <si>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</si>
  <si>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</si>
  <si>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Pb</t>
  </si>
  <si>
    <t>Th</t>
  </si>
  <si>
    <t>U</t>
  </si>
  <si>
    <t>Value</t>
  </si>
  <si>
    <t>Ratio</t>
  </si>
  <si>
    <t>Average 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</si>
</sst>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6"/>
  <sheetViews>
    <sheetView tabSelected="1" topLeftCell="Z1" workbookViewId="0">
      <selection activeCell="F30" sqref="F30"/>
    </sheetView>
  </sheetViews>
  <sheetFormatPr baseColWidth="10" defaultColWidth="8.83203125" defaultRowHeight="15" x14ac:dyDescent="0.2"/>
  <cols>
    <col min="1" max="1" width="13.6640625" customWidth="1"/>
  </cols>
  <sheetData>
    <row r="1" spans="1:3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 x14ac:dyDescent="0.2">
      <c r="A2" s="1">
        <v>637</v>
      </c>
      <c r="B2">
        <v>1984.8156225751959</v>
      </c>
      <c r="C2">
        <v>593.37518499811586</v>
      </c>
      <c r="D2">
        <v>125.27786042529431</v>
      </c>
      <c r="E2">
        <v>1899.234749151937</v>
      </c>
      <c r="F2">
        <v>13.022391582168421</v>
      </c>
      <c r="G2">
        <v>89.633432377961185</v>
      </c>
      <c r="H2">
        <v>109316.80242899799</v>
      </c>
      <c r="I2">
        <v>52.1666666666667</v>
      </c>
      <c r="J2">
        <v>31.755147337435009</v>
      </c>
      <c r="K2">
        <v>3027.782247199787</v>
      </c>
      <c r="L2">
        <v>17.654040677902639</v>
      </c>
      <c r="M2">
        <v>0.10334236271786559</v>
      </c>
      <c r="N2">
        <v>1879.14239876481</v>
      </c>
      <c r="O2">
        <v>6.5581722737363757</v>
      </c>
      <c r="P2">
        <v>2.5555687211145992</v>
      </c>
      <c r="Q2">
        <v>15.490729207502531</v>
      </c>
      <c r="R2">
        <v>4.2953520530029498E-3</v>
      </c>
      <c r="S2">
        <v>17.574727320930219</v>
      </c>
      <c r="T2">
        <v>3.1755114434115002</v>
      </c>
      <c r="U2">
        <v>3.2331675583987369</v>
      </c>
      <c r="V2">
        <v>3.323022463222574</v>
      </c>
      <c r="W2">
        <v>3.165519711442061</v>
      </c>
      <c r="X2">
        <v>3.150859221378806</v>
      </c>
      <c r="Y2">
        <v>3.239738382786669</v>
      </c>
      <c r="Z2">
        <v>2.8757179086322902</v>
      </c>
      <c r="AA2">
        <v>2.953392165505849</v>
      </c>
      <c r="AB2">
        <v>2.959118919113128</v>
      </c>
      <c r="AC2">
        <v>3.0913987232440001</v>
      </c>
      <c r="AD2">
        <v>3.079757780987336</v>
      </c>
      <c r="AE2">
        <v>3.170200410066236</v>
      </c>
      <c r="AF2">
        <v>3.209689903868342</v>
      </c>
      <c r="AG2">
        <v>2.9986829855946699</v>
      </c>
      <c r="AH2">
        <v>1.3126797071135421</v>
      </c>
      <c r="AI2">
        <v>5.5409578768056154</v>
      </c>
      <c r="AJ2">
        <v>17.760904859700801</v>
      </c>
      <c r="AK2">
        <v>15.16807814006189</v>
      </c>
      <c r="AL2">
        <v>0.41867836259750141</v>
      </c>
    </row>
    <row r="3" spans="1:38" x14ac:dyDescent="0.2">
      <c r="A3" s="1">
        <v>638</v>
      </c>
      <c r="B3">
        <v>1915.718393872399</v>
      </c>
      <c r="C3">
        <v>586.31541130012079</v>
      </c>
      <c r="D3">
        <v>124.0423865605143</v>
      </c>
      <c r="E3">
        <v>1765.1610472230309</v>
      </c>
      <c r="F3">
        <v>13.88763648090808</v>
      </c>
      <c r="G3">
        <v>90.402651499776255</v>
      </c>
      <c r="H3">
        <v>110617.94588141701</v>
      </c>
      <c r="I3">
        <v>52.1666666666667</v>
      </c>
      <c r="J3">
        <v>33.68544800453796</v>
      </c>
      <c r="K3">
        <v>3127.513445664842</v>
      </c>
      <c r="L3">
        <v>17.72516834696869</v>
      </c>
      <c r="M3">
        <v>0.1218194319264936</v>
      </c>
      <c r="N3">
        <v>1947.362010087835</v>
      </c>
      <c r="O3">
        <v>7.2240015333613909</v>
      </c>
      <c r="P3">
        <v>2.7253866267239202</v>
      </c>
      <c r="Q3">
        <v>16.404718297921772</v>
      </c>
      <c r="R3">
        <v>5.8672389549764758E-3</v>
      </c>
      <c r="S3">
        <v>17.296446516510731</v>
      </c>
      <c r="T3">
        <v>3.4202225539445381</v>
      </c>
      <c r="U3">
        <v>3.4380485119519042</v>
      </c>
      <c r="V3">
        <v>3.5865678151361098</v>
      </c>
      <c r="W3">
        <v>3.4261521615797581</v>
      </c>
      <c r="X3">
        <v>3.3383330254167491</v>
      </c>
      <c r="Y3">
        <v>3.4954333913141511</v>
      </c>
      <c r="Z3">
        <v>3.120937271095372</v>
      </c>
      <c r="AA3">
        <v>3.235494936893808</v>
      </c>
      <c r="AB3">
        <v>3.3020029732567742</v>
      </c>
      <c r="AC3">
        <v>3.4232640122731182</v>
      </c>
      <c r="AD3">
        <v>3.4380728995286081</v>
      </c>
      <c r="AE3">
        <v>3.4701943832654969</v>
      </c>
      <c r="AF3">
        <v>3.502020308681459</v>
      </c>
      <c r="AG3">
        <v>3.305269429346664</v>
      </c>
      <c r="AH3">
        <v>1.3767289500508899</v>
      </c>
      <c r="AI3">
        <v>5.9709534520116421</v>
      </c>
      <c r="AJ3">
        <v>18.49128918807525</v>
      </c>
      <c r="AK3">
        <v>16.654603671008189</v>
      </c>
      <c r="AL3">
        <v>0.4364662431593877</v>
      </c>
    </row>
    <row r="4" spans="1:38" x14ac:dyDescent="0.2">
      <c r="A4" s="1">
        <v>639</v>
      </c>
      <c r="B4">
        <v>2045.9046135876149</v>
      </c>
      <c r="C4">
        <v>626.21727545185149</v>
      </c>
      <c r="D4">
        <v>118.8005712394344</v>
      </c>
      <c r="E4">
        <v>1769.992789211391</v>
      </c>
      <c r="F4">
        <v>13.162990676677451</v>
      </c>
      <c r="G4">
        <v>83.70712795338919</v>
      </c>
      <c r="H4">
        <v>110575.0317517756</v>
      </c>
      <c r="I4">
        <v>52.1666666666667</v>
      </c>
      <c r="J4">
        <v>31.643709732154139</v>
      </c>
      <c r="K4">
        <v>2993.8975931725681</v>
      </c>
      <c r="L4">
        <v>17.00767235013285</v>
      </c>
      <c r="M4">
        <v>0.1081031066898778</v>
      </c>
      <c r="N4">
        <v>2088.60527697729</v>
      </c>
      <c r="O4">
        <v>6.7996293808119166</v>
      </c>
      <c r="P4">
        <v>2.5566701814240398</v>
      </c>
      <c r="Q4">
        <v>15.16109969641651</v>
      </c>
      <c r="R4">
        <v>5.4738065623269744E-3</v>
      </c>
      <c r="S4">
        <v>18.029829172967801</v>
      </c>
      <c r="T4">
        <v>3.102383471606537</v>
      </c>
      <c r="U4">
        <v>3.2158646033179168</v>
      </c>
      <c r="V4">
        <v>3.3786415515114099</v>
      </c>
      <c r="W4">
        <v>3.2327393371139208</v>
      </c>
      <c r="X4">
        <v>3.17479500838588</v>
      </c>
      <c r="Y4">
        <v>3.3647886813257681</v>
      </c>
      <c r="Z4">
        <v>2.987013643669604</v>
      </c>
      <c r="AA4">
        <v>3.1017105721618501</v>
      </c>
      <c r="AB4">
        <v>3.1702834942553051</v>
      </c>
      <c r="AC4">
        <v>3.2649485606386999</v>
      </c>
      <c r="AD4">
        <v>3.2268333055166738</v>
      </c>
      <c r="AE4">
        <v>3.3054872847630321</v>
      </c>
      <c r="AF4">
        <v>3.3392449613932431</v>
      </c>
      <c r="AG4">
        <v>3.138372319096836</v>
      </c>
      <c r="AH4">
        <v>1.3058182739060351</v>
      </c>
      <c r="AI4">
        <v>5.5852909563523827</v>
      </c>
      <c r="AJ4">
        <v>18.641813506336771</v>
      </c>
      <c r="AK4">
        <v>16.132633904650689</v>
      </c>
      <c r="AL4">
        <v>0.51614749891711786</v>
      </c>
    </row>
    <row r="5" spans="1:38" x14ac:dyDescent="0.2">
      <c r="A5" s="1">
        <v>640</v>
      </c>
      <c r="B5">
        <v>2060.7302624840422</v>
      </c>
      <c r="C5">
        <v>584.78324722201694</v>
      </c>
      <c r="D5">
        <v>121.78597788329201</v>
      </c>
      <c r="E5">
        <v>1663.2699492783941</v>
      </c>
      <c r="F5">
        <v>13.842128818515899</v>
      </c>
      <c r="G5">
        <v>93.263031220908502</v>
      </c>
      <c r="H5">
        <v>110702.8678793185</v>
      </c>
      <c r="I5">
        <v>52.1666666666667</v>
      </c>
      <c r="J5">
        <v>34.142173841149891</v>
      </c>
      <c r="K5">
        <v>3082.7117406071811</v>
      </c>
      <c r="L5">
        <v>17.81244847462542</v>
      </c>
      <c r="M5">
        <v>0.1179077697479957</v>
      </c>
      <c r="N5">
        <v>1984.69268995731</v>
      </c>
      <c r="O5">
        <v>6.9600218778875123</v>
      </c>
      <c r="P5">
        <v>2.5516572350532192</v>
      </c>
      <c r="Q5">
        <v>15.53431503352833</v>
      </c>
      <c r="R5">
        <v>4.7189081529255082E-3</v>
      </c>
      <c r="S5">
        <v>17.750991108958061</v>
      </c>
      <c r="T5">
        <v>3.4720305721834488</v>
      </c>
      <c r="U5">
        <v>3.5532447561055571</v>
      </c>
      <c r="V5">
        <v>3.7075164042305531</v>
      </c>
      <c r="W5">
        <v>3.466451444228257</v>
      </c>
      <c r="X5">
        <v>3.4016089386410902</v>
      </c>
      <c r="Y5">
        <v>3.5694520015590179</v>
      </c>
      <c r="Z5">
        <v>3.1605333532874189</v>
      </c>
      <c r="AA5">
        <v>3.27030902667298</v>
      </c>
      <c r="AB5">
        <v>3.3019199990752859</v>
      </c>
      <c r="AC5">
        <v>3.4305640392932042</v>
      </c>
      <c r="AD5">
        <v>3.3951961084597868</v>
      </c>
      <c r="AE5">
        <v>3.5169205471158671</v>
      </c>
      <c r="AF5">
        <v>3.4473949623609221</v>
      </c>
      <c r="AG5">
        <v>3.3064455588630461</v>
      </c>
      <c r="AH5">
        <v>1.395090245476591</v>
      </c>
      <c r="AI5">
        <v>5.9192199304384836</v>
      </c>
      <c r="AJ5">
        <v>19.55776929583574</v>
      </c>
      <c r="AK5">
        <v>17.184265515950049</v>
      </c>
      <c r="AL5">
        <v>0.42791898641748222</v>
      </c>
    </row>
    <row r="6" spans="1:38" x14ac:dyDescent="0.2">
      <c r="A6" s="1">
        <v>641</v>
      </c>
      <c r="B6">
        <v>1957.940407623204</v>
      </c>
      <c r="C6">
        <v>567.51481015956779</v>
      </c>
      <c r="D6">
        <v>120.2760994120585</v>
      </c>
      <c r="E6">
        <v>1460.417184077279</v>
      </c>
      <c r="F6">
        <v>13.45486828739144</v>
      </c>
      <c r="G6">
        <v>83.884430906020043</v>
      </c>
      <c r="H6">
        <v>109491.5544345549</v>
      </c>
      <c r="I6">
        <v>52.1666666666667</v>
      </c>
      <c r="J6">
        <v>31.977074867842308</v>
      </c>
      <c r="K6">
        <v>2949.11427642013</v>
      </c>
      <c r="L6">
        <v>16.60816679655959</v>
      </c>
      <c r="M6">
        <v>9.6459501277622706E-2</v>
      </c>
      <c r="N6">
        <v>1957.8759923963651</v>
      </c>
      <c r="O6">
        <v>6.7007061143996864</v>
      </c>
      <c r="P6">
        <v>2.6765086330960419</v>
      </c>
      <c r="Q6">
        <v>14.842639063811781</v>
      </c>
      <c r="R6">
        <v>4.8243174775041029E-3</v>
      </c>
      <c r="S6">
        <v>17.054670549140958</v>
      </c>
      <c r="T6">
        <v>3.2167638099994451</v>
      </c>
      <c r="U6">
        <v>3.438220054774904</v>
      </c>
      <c r="V6">
        <v>3.431175680942578</v>
      </c>
      <c r="W6">
        <v>3.2703048549393938</v>
      </c>
      <c r="X6">
        <v>3.1474915116882349</v>
      </c>
      <c r="Y6">
        <v>3.3102159540395739</v>
      </c>
      <c r="Z6">
        <v>2.9781175945129319</v>
      </c>
      <c r="AA6">
        <v>3.0853721106926781</v>
      </c>
      <c r="AB6">
        <v>3.094915727964838</v>
      </c>
      <c r="AC6">
        <v>3.2268353680480839</v>
      </c>
      <c r="AD6">
        <v>3.215539567961105</v>
      </c>
      <c r="AE6">
        <v>3.3083254996891149</v>
      </c>
      <c r="AF6">
        <v>3.3107037687615799</v>
      </c>
      <c r="AG6">
        <v>3.1462305273168272</v>
      </c>
      <c r="AH6">
        <v>1.318410282730629</v>
      </c>
      <c r="AI6">
        <v>5.5452237855349926</v>
      </c>
      <c r="AJ6">
        <v>17.837720756748261</v>
      </c>
      <c r="AK6">
        <v>15.87245130640588</v>
      </c>
      <c r="AL6">
        <v>0.43778642507594179</v>
      </c>
    </row>
    <row r="7" spans="1:38" x14ac:dyDescent="0.2">
      <c r="A7" s="1">
        <v>642</v>
      </c>
      <c r="B7">
        <v>1985.990969206274</v>
      </c>
      <c r="C7">
        <v>614.62878352493181</v>
      </c>
      <c r="D7">
        <v>88.306882714184226</v>
      </c>
      <c r="E7">
        <v>1053.683001021122</v>
      </c>
      <c r="F7">
        <v>11.61759187616086</v>
      </c>
      <c r="G7">
        <v>75.44243301455451</v>
      </c>
      <c r="H7">
        <v>111943.25141731001</v>
      </c>
      <c r="I7">
        <v>52.1666666666667</v>
      </c>
      <c r="J7">
        <v>23.651488420669189</v>
      </c>
      <c r="K7">
        <v>2358.9106179402379</v>
      </c>
      <c r="L7">
        <v>15.856741931632399</v>
      </c>
      <c r="M7">
        <v>8.5767084183092673E-2</v>
      </c>
      <c r="N7">
        <v>2049.7612935926941</v>
      </c>
      <c r="O7">
        <v>5.4208910037550524</v>
      </c>
      <c r="P7">
        <v>2.2690915801439502</v>
      </c>
      <c r="Q7">
        <v>9.0410545552530976</v>
      </c>
      <c r="R7">
        <v>3.0553917581865602E-3</v>
      </c>
      <c r="S7">
        <v>17.538662832883141</v>
      </c>
      <c r="T7">
        <v>3.1160757256782339</v>
      </c>
      <c r="U7">
        <v>3.832508494997152</v>
      </c>
      <c r="V7">
        <v>3.035413444101644</v>
      </c>
      <c r="W7">
        <v>2.8759936910372499</v>
      </c>
      <c r="X7">
        <v>2.702984268987076</v>
      </c>
      <c r="Y7">
        <v>2.9663772718415968</v>
      </c>
      <c r="Z7">
        <v>2.4752549528886911</v>
      </c>
      <c r="AA7">
        <v>2.5380870226326859</v>
      </c>
      <c r="AB7">
        <v>2.5449034419113632</v>
      </c>
      <c r="AC7">
        <v>2.6326024546699691</v>
      </c>
      <c r="AD7">
        <v>2.6680782714844251</v>
      </c>
      <c r="AE7">
        <v>2.6922470668314888</v>
      </c>
      <c r="AF7">
        <v>2.6866888563163851</v>
      </c>
      <c r="AG7">
        <v>2.5417902012209561</v>
      </c>
      <c r="AH7">
        <v>0.84347209866430994</v>
      </c>
      <c r="AI7">
        <v>3.3413339216111169</v>
      </c>
      <c r="AJ7">
        <v>17.818742366721239</v>
      </c>
      <c r="AK7">
        <v>13.67145752540757</v>
      </c>
      <c r="AL7">
        <v>0.28968469720935969</v>
      </c>
    </row>
    <row r="8" spans="1:38" x14ac:dyDescent="0.2">
      <c r="A8" s="1">
        <v>643</v>
      </c>
      <c r="B8">
        <v>1976.546993303743</v>
      </c>
      <c r="C8">
        <v>602.18202095401136</v>
      </c>
      <c r="D8">
        <v>96.045117928496595</v>
      </c>
      <c r="E8">
        <v>1227.1863509971481</v>
      </c>
      <c r="F8">
        <v>11.76261833061945</v>
      </c>
      <c r="G8">
        <v>81.374773836416921</v>
      </c>
      <c r="H8">
        <v>111893.21579354269</v>
      </c>
      <c r="I8">
        <v>52.1666666666667</v>
      </c>
      <c r="J8">
        <v>29.418042705094031</v>
      </c>
      <c r="K8">
        <v>2852.3056532234</v>
      </c>
      <c r="L8">
        <v>16.965962386784831</v>
      </c>
      <c r="M8">
        <v>9.7113464730240573E-2</v>
      </c>
      <c r="N8">
        <v>2068.9257969327418</v>
      </c>
      <c r="O8">
        <v>5.4860929786717856</v>
      </c>
      <c r="P8">
        <v>2.2709031726361739</v>
      </c>
      <c r="Q8">
        <v>11.098435099404011</v>
      </c>
      <c r="R8">
        <v>5.0348150916026983E-3</v>
      </c>
      <c r="S8">
        <v>18.070328860366189</v>
      </c>
      <c r="T8">
        <v>3.266344498265215</v>
      </c>
      <c r="U8">
        <v>4.3218352605668198</v>
      </c>
      <c r="V8">
        <v>3.2636896201805841</v>
      </c>
      <c r="W8">
        <v>2.9353008653857131</v>
      </c>
      <c r="X8">
        <v>2.7619199021784642</v>
      </c>
      <c r="Y8">
        <v>3.0100565724459409</v>
      </c>
      <c r="Z8">
        <v>2.4562064839674069</v>
      </c>
      <c r="AA8">
        <v>2.501690516510187</v>
      </c>
      <c r="AB8">
        <v>2.565879538089491</v>
      </c>
      <c r="AC8">
        <v>2.6479812981037991</v>
      </c>
      <c r="AD8">
        <v>2.652940873497196</v>
      </c>
      <c r="AE8">
        <v>2.724606074023487</v>
      </c>
      <c r="AF8">
        <v>2.7633362060307229</v>
      </c>
      <c r="AG8">
        <v>2.57301116513473</v>
      </c>
      <c r="AH8">
        <v>0.97169419132601187</v>
      </c>
      <c r="AI8">
        <v>4.2522710457890556</v>
      </c>
      <c r="AJ8">
        <v>18.25200563045933</v>
      </c>
      <c r="AK8">
        <v>13.94216369827744</v>
      </c>
      <c r="AL8">
        <v>0.40178429367013307</v>
      </c>
    </row>
    <row r="9" spans="1:38" x14ac:dyDescent="0.2">
      <c r="A9" s="1">
        <v>644</v>
      </c>
      <c r="B9">
        <v>1915.6206172633149</v>
      </c>
      <c r="C9">
        <v>563.11894836446299</v>
      </c>
      <c r="D9">
        <v>119.2988526193411</v>
      </c>
      <c r="E9">
        <v>1546.4868259939369</v>
      </c>
      <c r="F9">
        <v>13.476359634617911</v>
      </c>
      <c r="G9">
        <v>84.483105082702806</v>
      </c>
      <c r="H9">
        <v>107896.31513821011</v>
      </c>
      <c r="I9">
        <v>52.1666666666667</v>
      </c>
      <c r="J9">
        <v>32.097953155925623</v>
      </c>
      <c r="K9">
        <v>3005.2501894921111</v>
      </c>
      <c r="L9">
        <v>16.489623517062409</v>
      </c>
      <c r="M9">
        <v>0.10481658931024671</v>
      </c>
      <c r="N9">
        <v>1920.521543988101</v>
      </c>
      <c r="O9">
        <v>6.6459058124294046</v>
      </c>
      <c r="P9">
        <v>2.529448408661132</v>
      </c>
      <c r="Q9">
        <v>15.17452350944744</v>
      </c>
      <c r="R9">
        <v>4.8315692487180479E-3</v>
      </c>
      <c r="S9">
        <v>17.290885162944029</v>
      </c>
      <c r="T9">
        <v>3.2366008364133472</v>
      </c>
      <c r="U9">
        <v>3.322824846646379</v>
      </c>
      <c r="V9">
        <v>3.426725023708765</v>
      </c>
      <c r="W9">
        <v>3.295079610159561</v>
      </c>
      <c r="X9">
        <v>3.1947966870260371</v>
      </c>
      <c r="Y9">
        <v>3.3563934183166149</v>
      </c>
      <c r="Z9">
        <v>2.977608620503061</v>
      </c>
      <c r="AA9">
        <v>3.1016697597552469</v>
      </c>
      <c r="AB9">
        <v>3.0965201558089301</v>
      </c>
      <c r="AC9">
        <v>3.2207976529680349</v>
      </c>
      <c r="AD9">
        <v>3.2411370474179968</v>
      </c>
      <c r="AE9">
        <v>3.320110474825781</v>
      </c>
      <c r="AF9">
        <v>3.3612764492791638</v>
      </c>
      <c r="AG9">
        <v>3.1723430838319588</v>
      </c>
      <c r="AH9">
        <v>1.3586817104041009</v>
      </c>
      <c r="AI9">
        <v>5.7874812463500902</v>
      </c>
      <c r="AJ9">
        <v>18.371418862936189</v>
      </c>
      <c r="AK9">
        <v>16.26581501896732</v>
      </c>
      <c r="AL9">
        <v>0.67841548839352639</v>
      </c>
    </row>
    <row r="10" spans="1:38" x14ac:dyDescent="0.2">
      <c r="A10" s="1">
        <v>645</v>
      </c>
      <c r="B10">
        <v>1935.2727752982621</v>
      </c>
      <c r="C10">
        <v>570.62097623737009</v>
      </c>
      <c r="D10">
        <v>134.8258817467966</v>
      </c>
      <c r="E10">
        <v>1564.666379032152</v>
      </c>
      <c r="F10">
        <v>13.719095255519919</v>
      </c>
      <c r="G10">
        <v>84.981320159145568</v>
      </c>
      <c r="H10">
        <v>110764.6572024131</v>
      </c>
      <c r="I10">
        <v>52.1666666666667</v>
      </c>
      <c r="J10">
        <v>30.67468259531794</v>
      </c>
      <c r="K10">
        <v>2935.0076361076081</v>
      </c>
      <c r="L10">
        <v>16.138971777436669</v>
      </c>
      <c r="M10">
        <v>0.10476848856186211</v>
      </c>
      <c r="N10">
        <v>2011.4212838620119</v>
      </c>
      <c r="O10">
        <v>6.3771072152137336</v>
      </c>
      <c r="P10">
        <v>2.367938642142644</v>
      </c>
      <c r="Q10">
        <v>13.955881294985261</v>
      </c>
      <c r="R10">
        <v>5.6297385848728338E-3</v>
      </c>
      <c r="S10">
        <v>17.479938188542871</v>
      </c>
      <c r="T10">
        <v>3.0296606987084291</v>
      </c>
      <c r="U10">
        <v>3.1168083422592439</v>
      </c>
      <c r="V10">
        <v>3.1712818845826751</v>
      </c>
      <c r="W10">
        <v>3.0493266804866952</v>
      </c>
      <c r="X10">
        <v>2.997493821061664</v>
      </c>
      <c r="Y10">
        <v>3.208722316287365</v>
      </c>
      <c r="Z10">
        <v>2.8519162401951061</v>
      </c>
      <c r="AA10">
        <v>2.9267934469160442</v>
      </c>
      <c r="AB10">
        <v>2.9529402971587242</v>
      </c>
      <c r="AC10">
        <v>3.0758118707961359</v>
      </c>
      <c r="AD10">
        <v>3.124225101840127</v>
      </c>
      <c r="AE10">
        <v>3.1929919386859349</v>
      </c>
      <c r="AF10">
        <v>3.1924343599057661</v>
      </c>
      <c r="AG10">
        <v>3.001832246764994</v>
      </c>
      <c r="AH10">
        <v>1.22560631795726</v>
      </c>
      <c r="AI10">
        <v>5.4319816752088306</v>
      </c>
      <c r="AJ10">
        <v>18.47836314396233</v>
      </c>
      <c r="AK10">
        <v>15.16060729493365</v>
      </c>
      <c r="AL10">
        <v>0.40937022050031457</v>
      </c>
    </row>
    <row r="11" spans="1:38" x14ac:dyDescent="0.2">
      <c r="A11" s="1">
        <v>646</v>
      </c>
      <c r="B11">
        <v>1851.8847127330721</v>
      </c>
      <c r="C11">
        <v>560.65116006223218</v>
      </c>
      <c r="D11">
        <v>119.60430104785959</v>
      </c>
      <c r="E11">
        <v>1480.016659493567</v>
      </c>
      <c r="F11">
        <v>13.76756667936662</v>
      </c>
      <c r="G11">
        <v>77.905150847806908</v>
      </c>
      <c r="H11">
        <v>109864.1791911723</v>
      </c>
      <c r="I11">
        <v>52.1666666666667</v>
      </c>
      <c r="J11">
        <v>31.662679811568321</v>
      </c>
      <c r="K11">
        <v>2909.5688026252378</v>
      </c>
      <c r="L11">
        <v>16.036217778852549</v>
      </c>
      <c r="M11">
        <v>0.1033445352312813</v>
      </c>
      <c r="N11">
        <v>1952.471255211751</v>
      </c>
      <c r="O11">
        <v>6.81263842754701</v>
      </c>
      <c r="P11">
        <v>2.468940988489722</v>
      </c>
      <c r="Q11">
        <v>14.687091467992831</v>
      </c>
      <c r="R11">
        <v>3.6392019618796778E-3</v>
      </c>
      <c r="S11">
        <v>16.69323681912633</v>
      </c>
      <c r="T11">
        <v>3.1577458417490911</v>
      </c>
      <c r="U11">
        <v>3.2958889118992949</v>
      </c>
      <c r="V11">
        <v>3.4211680002207272</v>
      </c>
      <c r="W11">
        <v>3.2775421694759741</v>
      </c>
      <c r="X11">
        <v>3.237548227960422</v>
      </c>
      <c r="Y11">
        <v>3.3639217267529942</v>
      </c>
      <c r="Z11">
        <v>3.018105111641785</v>
      </c>
      <c r="AA11">
        <v>3.0990844658714241</v>
      </c>
      <c r="AB11">
        <v>3.188188508004786</v>
      </c>
      <c r="AC11">
        <v>3.323557028178961</v>
      </c>
      <c r="AD11">
        <v>3.3294776476106911</v>
      </c>
      <c r="AE11">
        <v>3.4128253874073451</v>
      </c>
      <c r="AF11">
        <v>3.3729872320071461</v>
      </c>
      <c r="AG11">
        <v>3.2162884730033521</v>
      </c>
      <c r="AH11">
        <v>1.2812867762587949</v>
      </c>
      <c r="AI11">
        <v>5.4982168712217918</v>
      </c>
      <c r="AJ11">
        <v>17.720656333522349</v>
      </c>
      <c r="AK11">
        <v>16.17752813738911</v>
      </c>
      <c r="AL11">
        <v>0.41106578712085862</v>
      </c>
    </row>
    <row r="12" spans="1:38" x14ac:dyDescent="0.2">
      <c r="A12" s="1">
        <v>647</v>
      </c>
      <c r="B12">
        <v>1904.694923845871</v>
      </c>
      <c r="C12">
        <v>567.21562469119101</v>
      </c>
      <c r="D12">
        <v>118.2001091328747</v>
      </c>
      <c r="E12">
        <v>1565.100616781561</v>
      </c>
      <c r="F12">
        <v>13.7090259430359</v>
      </c>
      <c r="G12">
        <v>84.391142797884854</v>
      </c>
      <c r="H12">
        <v>110629.797123408</v>
      </c>
      <c r="I12">
        <v>52.1666666666667</v>
      </c>
      <c r="J12">
        <v>33.109012074933972</v>
      </c>
      <c r="K12">
        <v>3056.265395354545</v>
      </c>
      <c r="L12">
        <v>16.51170417428116</v>
      </c>
      <c r="M12">
        <v>0.1169036118090821</v>
      </c>
      <c r="N12">
        <v>2019.8440777746459</v>
      </c>
      <c r="O12">
        <v>6.510186748248401</v>
      </c>
      <c r="P12">
        <v>2.5256308999067612</v>
      </c>
      <c r="Q12">
        <v>15.15438745015658</v>
      </c>
      <c r="R12">
        <v>5.1242589153217824E-3</v>
      </c>
      <c r="S12">
        <v>17.306964951750992</v>
      </c>
      <c r="T12">
        <v>3.12513443800899</v>
      </c>
      <c r="U12">
        <v>3.2343375517157749</v>
      </c>
      <c r="V12">
        <v>3.343078446926528</v>
      </c>
      <c r="W12">
        <v>3.193721353386012</v>
      </c>
      <c r="X12">
        <v>3.0623327550900949</v>
      </c>
      <c r="Y12">
        <v>3.3098851627926811</v>
      </c>
      <c r="Z12">
        <v>2.955703540526438</v>
      </c>
      <c r="AA12">
        <v>2.9873546719993889</v>
      </c>
      <c r="AB12">
        <v>3.0508271365065869</v>
      </c>
      <c r="AC12">
        <v>3.1347986290656662</v>
      </c>
      <c r="AD12">
        <v>3.1384179477955918</v>
      </c>
      <c r="AE12">
        <v>3.2161507187521581</v>
      </c>
      <c r="AF12">
        <v>3.274850877031104</v>
      </c>
      <c r="AG12">
        <v>3.0838095434061299</v>
      </c>
      <c r="AH12">
        <v>1.327194486489135</v>
      </c>
      <c r="AI12">
        <v>5.7248310528670956</v>
      </c>
      <c r="AJ12">
        <v>18.450463612465018</v>
      </c>
      <c r="AK12">
        <v>15.77551961764644</v>
      </c>
      <c r="AL12">
        <v>0.43896393536944561</v>
      </c>
    </row>
    <row r="13" spans="1:38" x14ac:dyDescent="0.2">
      <c r="A13" s="1">
        <v>648</v>
      </c>
      <c r="B13">
        <v>1849.6958763298221</v>
      </c>
      <c r="C13">
        <v>543.2220127545246</v>
      </c>
      <c r="D13">
        <v>105.089152798843</v>
      </c>
      <c r="E13">
        <v>1472.638169640456</v>
      </c>
      <c r="F13">
        <v>12.96993339607174</v>
      </c>
      <c r="G13">
        <v>69.288096055047788</v>
      </c>
      <c r="H13">
        <v>107688.6780036525</v>
      </c>
      <c r="I13">
        <v>52.1666666666667</v>
      </c>
      <c r="J13">
        <v>27.61163962074038</v>
      </c>
      <c r="K13">
        <v>2683.4180783977649</v>
      </c>
      <c r="L13">
        <v>14.811818946826421</v>
      </c>
      <c r="M13">
        <v>8.2212503123747768E-2</v>
      </c>
      <c r="N13">
        <v>1900.995278569723</v>
      </c>
      <c r="O13">
        <v>6.1754326517360614</v>
      </c>
      <c r="P13">
        <v>2.1941326137343249</v>
      </c>
      <c r="Q13">
        <v>13.21206437789195</v>
      </c>
      <c r="R13">
        <v>2.516856460072239E-3</v>
      </c>
      <c r="S13">
        <v>16.034468475425779</v>
      </c>
      <c r="T13">
        <v>2.946647899569224</v>
      </c>
      <c r="U13">
        <v>3.025833586727531</v>
      </c>
      <c r="V13">
        <v>3.1506759308372558</v>
      </c>
      <c r="W13">
        <v>3.028043241582651</v>
      </c>
      <c r="X13">
        <v>2.9398146298815382</v>
      </c>
      <c r="Y13">
        <v>3.08609753349729</v>
      </c>
      <c r="Z13">
        <v>2.780333397489287</v>
      </c>
      <c r="AA13">
        <v>2.8264467905744328</v>
      </c>
      <c r="AB13">
        <v>2.9342308842561069</v>
      </c>
      <c r="AC13">
        <v>3.022199176911168</v>
      </c>
      <c r="AD13">
        <v>3.0174420647530251</v>
      </c>
      <c r="AE13">
        <v>3.1161627247024688</v>
      </c>
      <c r="AF13">
        <v>3.1121860167927329</v>
      </c>
      <c r="AG13">
        <v>2.9714735700972992</v>
      </c>
      <c r="AH13">
        <v>1.1652065429961089</v>
      </c>
      <c r="AI13">
        <v>4.9317300835044078</v>
      </c>
      <c r="AJ13">
        <v>16.035592471562179</v>
      </c>
      <c r="AK13">
        <v>15.243789557120641</v>
      </c>
      <c r="AL13">
        <v>0.47777960457530733</v>
      </c>
    </row>
    <row r="14" spans="1:38" x14ac:dyDescent="0.2">
      <c r="A14" s="1">
        <v>649</v>
      </c>
      <c r="B14">
        <v>1975.952794398755</v>
      </c>
      <c r="C14">
        <v>571.8376577318428</v>
      </c>
      <c r="D14">
        <v>113.3093217845892</v>
      </c>
      <c r="E14">
        <v>1483.052431683393</v>
      </c>
      <c r="F14">
        <v>12.439936646374241</v>
      </c>
      <c r="G14">
        <v>78.21282988347842</v>
      </c>
      <c r="H14">
        <v>110149.4670228555</v>
      </c>
      <c r="I14">
        <v>52.1666666666667</v>
      </c>
      <c r="J14">
        <v>30.915965881899218</v>
      </c>
      <c r="K14">
        <v>2950.286086623868</v>
      </c>
      <c r="L14">
        <v>16.326936821833389</v>
      </c>
      <c r="M14">
        <v>9.6186511653673576E-2</v>
      </c>
      <c r="N14">
        <v>2064.194139672632</v>
      </c>
      <c r="O14">
        <v>6.6150046878091926</v>
      </c>
      <c r="P14">
        <v>2.3119359864646669</v>
      </c>
      <c r="Q14">
        <v>14.48283620854524</v>
      </c>
      <c r="R14">
        <v>4.3163141433757218E-3</v>
      </c>
      <c r="S14">
        <v>17.580429662100141</v>
      </c>
      <c r="T14">
        <v>3.154060847229248</v>
      </c>
      <c r="U14">
        <v>3.2924524627433929</v>
      </c>
      <c r="V14">
        <v>3.4174756892015492</v>
      </c>
      <c r="W14">
        <v>3.170695330050064</v>
      </c>
      <c r="X14">
        <v>3.1077981650724791</v>
      </c>
      <c r="Y14">
        <v>3.2525744462322188</v>
      </c>
      <c r="Z14">
        <v>3.0170451927831712</v>
      </c>
      <c r="AA14">
        <v>3.0204738974066121</v>
      </c>
      <c r="AB14">
        <v>3.10944214302849</v>
      </c>
      <c r="AC14">
        <v>3.1709489885566851</v>
      </c>
      <c r="AD14">
        <v>3.232647049024397</v>
      </c>
      <c r="AE14">
        <v>3.382090296755683</v>
      </c>
      <c r="AF14">
        <v>3.409130046025528</v>
      </c>
      <c r="AG14">
        <v>3.1455360760870561</v>
      </c>
      <c r="AH14">
        <v>1.278248201928422</v>
      </c>
      <c r="AI14">
        <v>5.3226729102477908</v>
      </c>
      <c r="AJ14">
        <v>18.09538294904814</v>
      </c>
      <c r="AK14">
        <v>16.558086536878029</v>
      </c>
      <c r="AL14">
        <v>0.41073173951392028</v>
      </c>
    </row>
    <row r="15" spans="1:38" x14ac:dyDescent="0.2">
      <c r="A15" s="1">
        <v>650</v>
      </c>
      <c r="B15">
        <v>1971.32499425641</v>
      </c>
      <c r="C15">
        <v>570.23150661589057</v>
      </c>
      <c r="D15">
        <v>128.7059179409809</v>
      </c>
      <c r="E15">
        <v>1508.1659388660139</v>
      </c>
      <c r="F15">
        <v>14.18999197893258</v>
      </c>
      <c r="G15">
        <v>80.679980649211146</v>
      </c>
      <c r="H15">
        <v>108736.5984092564</v>
      </c>
      <c r="I15">
        <v>52.1666666666667</v>
      </c>
      <c r="J15">
        <v>31.97509953948764</v>
      </c>
      <c r="K15">
        <v>3006.6494651409812</v>
      </c>
      <c r="L15">
        <v>16.594374712555741</v>
      </c>
      <c r="M15">
        <v>0.1067144452411628</v>
      </c>
      <c r="N15">
        <v>2055.2643880663768</v>
      </c>
      <c r="O15">
        <v>6.6995467171711676</v>
      </c>
      <c r="P15">
        <v>2.5656535718529221</v>
      </c>
      <c r="Q15">
        <v>15.30198542630559</v>
      </c>
      <c r="R15">
        <v>3.6980199068328131E-3</v>
      </c>
      <c r="S15">
        <v>17.98757930380722</v>
      </c>
      <c r="T15">
        <v>3.3547992259804862</v>
      </c>
      <c r="U15">
        <v>3.467170152799067</v>
      </c>
      <c r="V15">
        <v>3.516076814806897</v>
      </c>
      <c r="W15">
        <v>3.3753968499616449</v>
      </c>
      <c r="X15">
        <v>3.2416597181297209</v>
      </c>
      <c r="Y15">
        <v>3.4157606807217511</v>
      </c>
      <c r="Z15">
        <v>3.034683818470107</v>
      </c>
      <c r="AA15">
        <v>3.088825806287065</v>
      </c>
      <c r="AB15">
        <v>3.1727340622818301</v>
      </c>
      <c r="AC15">
        <v>3.2514581165251628</v>
      </c>
      <c r="AD15">
        <v>3.241293795887878</v>
      </c>
      <c r="AE15">
        <v>3.362042880825614</v>
      </c>
      <c r="AF15">
        <v>3.3887617569762298</v>
      </c>
      <c r="AG15">
        <v>3.2030561471451882</v>
      </c>
      <c r="AH15">
        <v>1.3653136287202241</v>
      </c>
      <c r="AI15">
        <v>5.7647028067702566</v>
      </c>
      <c r="AJ15">
        <v>18.510665775808761</v>
      </c>
      <c r="AK15">
        <v>16.55967893455696</v>
      </c>
      <c r="AL15">
        <v>0.39379943574106252</v>
      </c>
    </row>
    <row r="16" spans="1:38" x14ac:dyDescent="0.2">
      <c r="A16" s="1">
        <v>651</v>
      </c>
      <c r="B16">
        <v>1965.5607248946901</v>
      </c>
      <c r="C16">
        <v>553.00579794458031</v>
      </c>
      <c r="D16">
        <v>115.44695744038791</v>
      </c>
      <c r="E16">
        <v>1643.1184391654749</v>
      </c>
      <c r="F16">
        <v>13.11800089879196</v>
      </c>
      <c r="G16">
        <v>85.983005668198572</v>
      </c>
      <c r="H16">
        <v>107076.8021144322</v>
      </c>
      <c r="I16">
        <v>52.1666666666667</v>
      </c>
      <c r="J16">
        <v>31.178134823034931</v>
      </c>
      <c r="K16">
        <v>3003.3399454091568</v>
      </c>
      <c r="L16">
        <v>16.048324304894201</v>
      </c>
      <c r="M16">
        <v>0.10576394179238791</v>
      </c>
      <c r="N16">
        <v>1976.630996996922</v>
      </c>
      <c r="O16">
        <v>6.3655942353353137</v>
      </c>
      <c r="P16">
        <v>2.3894299441190658</v>
      </c>
      <c r="Q16">
        <v>14.444245004051091</v>
      </c>
      <c r="R16">
        <v>3.6304139659869309E-3</v>
      </c>
      <c r="S16">
        <v>17.272160300830699</v>
      </c>
      <c r="T16">
        <v>3.1995652172327782</v>
      </c>
      <c r="U16">
        <v>3.2387126632914791</v>
      </c>
      <c r="V16">
        <v>3.3514352610912592</v>
      </c>
      <c r="W16">
        <v>3.2498208343095389</v>
      </c>
      <c r="X16">
        <v>3.104660937209017</v>
      </c>
      <c r="Y16">
        <v>3.3808924622319481</v>
      </c>
      <c r="Z16">
        <v>2.9286507530703698</v>
      </c>
      <c r="AA16">
        <v>2.9409865302830829</v>
      </c>
      <c r="AB16">
        <v>3.0738736143397691</v>
      </c>
      <c r="AC16">
        <v>3.1295274711923788</v>
      </c>
      <c r="AD16">
        <v>3.1060182745142169</v>
      </c>
      <c r="AE16">
        <v>3.1830776149560061</v>
      </c>
      <c r="AF16">
        <v>3.214718427692516</v>
      </c>
      <c r="AG16">
        <v>3.069438090631655</v>
      </c>
      <c r="AH16">
        <v>1.272155168527221</v>
      </c>
      <c r="AI16">
        <v>5.5367611776326031</v>
      </c>
      <c r="AJ16">
        <v>18.029174508210438</v>
      </c>
      <c r="AK16">
        <v>15.45187945850039</v>
      </c>
      <c r="AL16">
        <v>0.39491691354519998</v>
      </c>
    </row>
    <row r="17" spans="1:38" x14ac:dyDescent="0.2">
      <c r="A17" s="1">
        <v>652</v>
      </c>
      <c r="B17">
        <v>1932.8515962163819</v>
      </c>
      <c r="C17">
        <v>566.64165510654652</v>
      </c>
      <c r="D17">
        <v>115.1051322215222</v>
      </c>
      <c r="E17">
        <v>1448.613311075542</v>
      </c>
      <c r="F17">
        <v>12.35748437887503</v>
      </c>
      <c r="G17">
        <v>73.070261221902413</v>
      </c>
      <c r="H17">
        <v>109158.15559963181</v>
      </c>
      <c r="I17">
        <v>52.1666666666667</v>
      </c>
      <c r="J17">
        <v>29.079143945010269</v>
      </c>
      <c r="K17">
        <v>2849.1420696536152</v>
      </c>
      <c r="L17">
        <v>15.745371491215421</v>
      </c>
      <c r="M17">
        <v>8.6214782264384199E-2</v>
      </c>
      <c r="N17">
        <v>2013.410896137133</v>
      </c>
      <c r="O17">
        <v>6.3645377003485866</v>
      </c>
      <c r="P17">
        <v>2.3058986810103548</v>
      </c>
      <c r="Q17">
        <v>13.718030163085441</v>
      </c>
      <c r="R17">
        <v>3.7940644647786949E-3</v>
      </c>
      <c r="S17">
        <v>17.223115661529359</v>
      </c>
      <c r="T17">
        <v>3.086052138005472</v>
      </c>
      <c r="U17">
        <v>3.190871421005717</v>
      </c>
      <c r="V17">
        <v>3.3060582213335952</v>
      </c>
      <c r="W17">
        <v>3.1633263032386738</v>
      </c>
      <c r="X17">
        <v>3.0985463569367182</v>
      </c>
      <c r="Y17">
        <v>3.208798279242612</v>
      </c>
      <c r="Z17">
        <v>2.8921130847304051</v>
      </c>
      <c r="AA17">
        <v>2.958747434510951</v>
      </c>
      <c r="AB17">
        <v>3.0833215173112398</v>
      </c>
      <c r="AC17">
        <v>3.1310758082152592</v>
      </c>
      <c r="AD17">
        <v>3.1950094194229819</v>
      </c>
      <c r="AE17">
        <v>3.2243907872660089</v>
      </c>
      <c r="AF17">
        <v>3.2539326863434059</v>
      </c>
      <c r="AG17">
        <v>3.0982071290519628</v>
      </c>
      <c r="AH17">
        <v>1.2215309419212479</v>
      </c>
      <c r="AI17">
        <v>5.2871638853963949</v>
      </c>
      <c r="AJ17">
        <v>17.77789552799895</v>
      </c>
      <c r="AK17">
        <v>16.046268897238761</v>
      </c>
      <c r="AL17">
        <v>0.40738669012252993</v>
      </c>
    </row>
    <row r="18" spans="1:38" x14ac:dyDescent="0.2">
      <c r="A18" s="1">
        <v>653</v>
      </c>
      <c r="B18">
        <v>1973.4092548070059</v>
      </c>
      <c r="C18">
        <v>556.13015955713058</v>
      </c>
      <c r="D18">
        <v>113.1645755120997</v>
      </c>
      <c r="E18">
        <v>1404.2958197721621</v>
      </c>
      <c r="F18">
        <v>13.33162427586922</v>
      </c>
      <c r="G18">
        <v>95.12957782396677</v>
      </c>
      <c r="H18">
        <v>110282.61637606251</v>
      </c>
      <c r="I18">
        <v>52.1666666666667</v>
      </c>
      <c r="J18">
        <v>30.342330417372882</v>
      </c>
      <c r="K18">
        <v>2882.2267099065698</v>
      </c>
      <c r="L18">
        <v>15.67446161416821</v>
      </c>
      <c r="M18">
        <v>0.10517042454388589</v>
      </c>
      <c r="N18">
        <v>2002.544942540603</v>
      </c>
      <c r="O18">
        <v>6.4707010321574137</v>
      </c>
      <c r="P18">
        <v>2.356909550223099</v>
      </c>
      <c r="Q18">
        <v>14.03681099426738</v>
      </c>
      <c r="R18">
        <v>4.3170257670365857E-3</v>
      </c>
      <c r="S18">
        <v>17.29589820961818</v>
      </c>
      <c r="T18">
        <v>3.2278895633738922</v>
      </c>
      <c r="U18">
        <v>3.351013396883078</v>
      </c>
      <c r="V18">
        <v>3.4932958589230481</v>
      </c>
      <c r="W18">
        <v>3.3106101235978009</v>
      </c>
      <c r="X18">
        <v>3.1709015528126359</v>
      </c>
      <c r="Y18">
        <v>3.3675467705394508</v>
      </c>
      <c r="Z18">
        <v>2.9951526050200652</v>
      </c>
      <c r="AA18">
        <v>3.062382851285419</v>
      </c>
      <c r="AB18">
        <v>3.0927157909647538</v>
      </c>
      <c r="AC18">
        <v>3.2138974801827769</v>
      </c>
      <c r="AD18">
        <v>3.2113824482892288</v>
      </c>
      <c r="AE18">
        <v>3.3048259493934209</v>
      </c>
      <c r="AF18">
        <v>3.3260219827913389</v>
      </c>
      <c r="AG18">
        <v>3.1688034378286409</v>
      </c>
      <c r="AH18">
        <v>1.3307764265766791</v>
      </c>
      <c r="AI18">
        <v>5.5258961676482672</v>
      </c>
      <c r="AJ18">
        <v>18.321444765811648</v>
      </c>
      <c r="AK18">
        <v>16.36275116176585</v>
      </c>
      <c r="AL18">
        <v>0.36889649397461027</v>
      </c>
    </row>
    <row r="19" spans="1:38" x14ac:dyDescent="0.2">
      <c r="A19" s="1">
        <v>654</v>
      </c>
      <c r="B19">
        <v>1899.6997894882679</v>
      </c>
      <c r="C19">
        <v>536.98876193497233</v>
      </c>
      <c r="D19">
        <v>122.8611626884305</v>
      </c>
      <c r="E19">
        <v>1152.6412530823559</v>
      </c>
      <c r="F19">
        <v>13.8693667024282</v>
      </c>
      <c r="G19">
        <v>76.181089299199385</v>
      </c>
      <c r="H19">
        <v>108804.0010436758</v>
      </c>
      <c r="I19">
        <v>52.1666666666667</v>
      </c>
      <c r="J19">
        <v>32.487430453619567</v>
      </c>
      <c r="K19">
        <v>3019.4538290241162</v>
      </c>
      <c r="L19">
        <v>16.10664829150058</v>
      </c>
      <c r="M19">
        <v>9.5564692576226601E-2</v>
      </c>
      <c r="N19">
        <v>2041.6410429718369</v>
      </c>
      <c r="O19">
        <v>6.7503690638585159</v>
      </c>
      <c r="P19">
        <v>2.522990912867999</v>
      </c>
      <c r="Q19">
        <v>15.24476124805693</v>
      </c>
      <c r="R19">
        <v>3.9503421967246174E-3</v>
      </c>
      <c r="S19">
        <v>17.788382802772912</v>
      </c>
      <c r="T19">
        <v>3.3063367261381051</v>
      </c>
      <c r="U19">
        <v>3.3375470817601909</v>
      </c>
      <c r="V19">
        <v>3.531478718563255</v>
      </c>
      <c r="W19">
        <v>3.36411532582144</v>
      </c>
      <c r="X19">
        <v>3.2039630929894591</v>
      </c>
      <c r="Y19">
        <v>3.3466248776339009</v>
      </c>
      <c r="Z19">
        <v>3.0418320818638689</v>
      </c>
      <c r="AA19">
        <v>3.0677290026553479</v>
      </c>
      <c r="AB19">
        <v>3.1745613790293201</v>
      </c>
      <c r="AC19">
        <v>3.2127388026209549</v>
      </c>
      <c r="AD19">
        <v>3.3034761926580032</v>
      </c>
      <c r="AE19">
        <v>3.3316368712741959</v>
      </c>
      <c r="AF19">
        <v>3.43378446788194</v>
      </c>
      <c r="AG19">
        <v>3.1622683512472851</v>
      </c>
      <c r="AH19">
        <v>1.358844387128165</v>
      </c>
      <c r="AI19">
        <v>5.8007234812736819</v>
      </c>
      <c r="AJ19">
        <v>18.337538045432218</v>
      </c>
      <c r="AK19">
        <v>16.374647152310409</v>
      </c>
      <c r="AL19">
        <v>0.36431553339194578</v>
      </c>
    </row>
    <row r="23" spans="1:38" x14ac:dyDescent="0.2">
      <c r="A23" s="1">
        <v>573</v>
      </c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  <c r="J23" s="1" t="s">
        <v>8</v>
      </c>
      <c r="K23" s="1" t="s">
        <v>9</v>
      </c>
      <c r="L23" s="1" t="s">
        <v>10</v>
      </c>
      <c r="M23" s="1" t="s">
        <v>11</v>
      </c>
      <c r="N23" s="1" t="s">
        <v>12</v>
      </c>
      <c r="O23" s="1" t="s">
        <v>13</v>
      </c>
      <c r="P23" s="1" t="s">
        <v>14</v>
      </c>
      <c r="Q23" s="1" t="s">
        <v>15</v>
      </c>
      <c r="R23" s="1" t="s">
        <v>16</v>
      </c>
      <c r="S23" s="1" t="s">
        <v>17</v>
      </c>
      <c r="T23" s="1" t="s">
        <v>18</v>
      </c>
      <c r="U23" s="1" t="s">
        <v>19</v>
      </c>
      <c r="V23" s="1" t="s">
        <v>20</v>
      </c>
      <c r="W23" s="1" t="s">
        <v>21</v>
      </c>
      <c r="X23" s="1" t="s">
        <v>22</v>
      </c>
      <c r="Y23" s="1" t="s">
        <v>23</v>
      </c>
      <c r="Z23" s="1" t="s">
        <v>24</v>
      </c>
      <c r="AA23" s="1" t="s">
        <v>25</v>
      </c>
      <c r="AB23" s="1" t="s">
        <v>26</v>
      </c>
      <c r="AC23" s="1" t="s">
        <v>27</v>
      </c>
      <c r="AD23" s="1" t="s">
        <v>28</v>
      </c>
      <c r="AE23" s="1" t="s">
        <v>29</v>
      </c>
      <c r="AF23" s="1" t="s">
        <v>30</v>
      </c>
      <c r="AG23" s="1" t="s">
        <v>31</v>
      </c>
      <c r="AH23" s="1" t="s">
        <v>32</v>
      </c>
      <c r="AI23" s="1" t="s">
        <v>33</v>
      </c>
      <c r="AJ23" s="1" t="s">
        <v>34</v>
      </c>
      <c r="AK23" s="1" t="s">
        <v>35</v>
      </c>
      <c r="AL23" s="1" t="s">
        <v>36</v>
      </c>
    </row>
    <row r="24" spans="1:38" x14ac:dyDescent="0.2">
      <c r="A24" s="1" t="s">
        <v>37</v>
      </c>
      <c r="B24">
        <v>5927.9411764705901</v>
      </c>
      <c r="C24">
        <v>1791.81481481481</v>
      </c>
      <c r="D24">
        <v>383.092307692308</v>
      </c>
      <c r="E24">
        <v>514.52631578947398</v>
      </c>
      <c r="F24">
        <v>98.076470588235296</v>
      </c>
      <c r="G24">
        <v>3.0880000000000001</v>
      </c>
      <c r="H24">
        <v>0</v>
      </c>
      <c r="I24">
        <v>52.1666666666667</v>
      </c>
      <c r="J24">
        <v>107.068421052632</v>
      </c>
      <c r="K24">
        <v>9987.2173913043498</v>
      </c>
      <c r="L24">
        <v>54.676470588235297</v>
      </c>
      <c r="M24">
        <v>4.3200000000000002E-2</v>
      </c>
      <c r="N24">
        <v>6681.1351351351304</v>
      </c>
      <c r="O24">
        <v>21.3786206896552</v>
      </c>
      <c r="P24">
        <v>8.2166666666666703</v>
      </c>
      <c r="Q24">
        <v>48.1111111111111</v>
      </c>
      <c r="R24">
        <v>1.3849999999999999E-2</v>
      </c>
      <c r="S24">
        <v>58.531944444444399</v>
      </c>
      <c r="T24">
        <v>10.598629629629601</v>
      </c>
      <c r="U24">
        <v>10.782142857142899</v>
      </c>
      <c r="V24">
        <v>11.3547826086957</v>
      </c>
      <c r="W24">
        <v>10.6637692307692</v>
      </c>
      <c r="X24">
        <v>10.4330909090909</v>
      </c>
      <c r="Y24">
        <v>11.1421739130435</v>
      </c>
      <c r="Z24">
        <v>10.023181818181801</v>
      </c>
      <c r="AA24">
        <v>9.9420000000000002</v>
      </c>
      <c r="AB24">
        <v>10.2390476190476</v>
      </c>
      <c r="AC24">
        <v>10.55</v>
      </c>
      <c r="AD24">
        <v>10.5171428571429</v>
      </c>
      <c r="AE24">
        <v>10.773</v>
      </c>
      <c r="AF24">
        <v>10.8233333333333</v>
      </c>
      <c r="AG24">
        <v>10.379565217391299</v>
      </c>
      <c r="AH24">
        <v>4.4286363636363602</v>
      </c>
      <c r="AI24">
        <v>19.504999999999999</v>
      </c>
      <c r="AJ24">
        <v>60.058636363636403</v>
      </c>
      <c r="AK24">
        <v>53.608800000000002</v>
      </c>
      <c r="AL24">
        <v>1.3488800000000001</v>
      </c>
    </row>
    <row r="25" spans="1:38" x14ac:dyDescent="0.2">
      <c r="A25" t="s">
        <v>39</v>
      </c>
      <c r="B25">
        <f>AVERAGE(B2:B19)</f>
        <v>1950.2008512324626</v>
      </c>
      <c r="C25">
        <f t="shared" ref="C25:AL25" si="0">AVERAGE(C2:C19)</f>
        <v>574.14894414507557</v>
      </c>
      <c r="D25">
        <f t="shared" si="0"/>
        <v>116.67479228316665</v>
      </c>
      <c r="E25">
        <f t="shared" si="0"/>
        <v>1505.9856064192736</v>
      </c>
      <c r="F25">
        <f t="shared" si="0"/>
        <v>13.205478435684718</v>
      </c>
      <c r="G25">
        <f t="shared" si="0"/>
        <v>82.667413349865058</v>
      </c>
      <c r="H25">
        <f t="shared" si="0"/>
        <v>109755.10760064927</v>
      </c>
      <c r="I25">
        <f t="shared" si="0"/>
        <v>52.166666666666714</v>
      </c>
      <c r="J25">
        <f t="shared" si="0"/>
        <v>30.967064290432965</v>
      </c>
      <c r="K25">
        <f t="shared" si="0"/>
        <v>2927.380210109096</v>
      </c>
      <c r="L25">
        <f t="shared" si="0"/>
        <v>16.450814133068505</v>
      </c>
      <c r="M25">
        <f t="shared" si="0"/>
        <v>0.1021207359656183</v>
      </c>
      <c r="N25">
        <f t="shared" si="0"/>
        <v>1996.4058502500438</v>
      </c>
      <c r="O25">
        <f t="shared" si="0"/>
        <v>6.4964744141376958</v>
      </c>
      <c r="P25">
        <f t="shared" si="0"/>
        <v>2.4524831305369239</v>
      </c>
      <c r="Q25">
        <f t="shared" si="0"/>
        <v>14.276978227701319</v>
      </c>
      <c r="R25">
        <f t="shared" si="0"/>
        <v>4.3732019814514012E-3</v>
      </c>
      <c r="S25">
        <f t="shared" si="0"/>
        <v>17.403817550011421</v>
      </c>
      <c r="T25">
        <f t="shared" si="0"/>
        <v>3.1996569726387767</v>
      </c>
      <c r="U25">
        <f t="shared" si="0"/>
        <v>3.3836860921024523</v>
      </c>
      <c r="V25">
        <f t="shared" si="0"/>
        <v>3.3808209349733893</v>
      </c>
      <c r="W25">
        <f t="shared" si="0"/>
        <v>3.213896660433134</v>
      </c>
      <c r="X25">
        <f t="shared" si="0"/>
        <v>3.1131948789358939</v>
      </c>
      <c r="Y25">
        <f t="shared" si="0"/>
        <v>3.2918488849756411</v>
      </c>
      <c r="Z25">
        <f t="shared" si="0"/>
        <v>2.9192736474637435</v>
      </c>
      <c r="AA25">
        <f t="shared" si="0"/>
        <v>2.9870306115897249</v>
      </c>
      <c r="AB25">
        <f t="shared" si="0"/>
        <v>3.0482433101309292</v>
      </c>
      <c r="AC25">
        <f t="shared" si="0"/>
        <v>3.1446891934157808</v>
      </c>
      <c r="AD25">
        <f t="shared" si="0"/>
        <v>3.1564969887027376</v>
      </c>
      <c r="AE25">
        <f t="shared" si="0"/>
        <v>3.2352381616999635</v>
      </c>
      <c r="AF25">
        <f t="shared" si="0"/>
        <v>3.2555090705633076</v>
      </c>
      <c r="AG25">
        <f t="shared" si="0"/>
        <v>3.0723810186482923</v>
      </c>
      <c r="AH25">
        <f t="shared" si="0"/>
        <v>1.2615965743430759</v>
      </c>
      <c r="AI25">
        <f t="shared" si="0"/>
        <v>5.3759673514813606</v>
      </c>
      <c r="AJ25">
        <f t="shared" si="0"/>
        <v>18.138268977813091</v>
      </c>
      <c r="AK25">
        <f t="shared" si="0"/>
        <v>15.811234751614958</v>
      </c>
      <c r="AL25">
        <f t="shared" si="0"/>
        <v>0.42689490829420251</v>
      </c>
    </row>
    <row r="26" spans="1:38" x14ac:dyDescent="0.2">
      <c r="A26" t="s">
        <v>38</v>
      </c>
      <c r="B26">
        <f>B25/B24</f>
        <v>0.32898451472043516</v>
      </c>
      <c r="C26">
        <f t="shared" ref="C26:AL26" si="1">C25/C24</f>
        <v>0.32042872924031257</v>
      </c>
      <c r="D26">
        <f t="shared" si="1"/>
        <v>0.30456051959382457</v>
      </c>
      <c r="E26">
        <f t="shared" si="1"/>
        <v>2.9269360190227274</v>
      </c>
      <c r="F26">
        <f t="shared" si="1"/>
        <v>0.13464471505226425</v>
      </c>
      <c r="G26">
        <f t="shared" si="1"/>
        <v>26.77053541122573</v>
      </c>
      <c r="H26" t="e">
        <f t="shared" si="1"/>
        <v>#DIV/0!</v>
      </c>
      <c r="I26">
        <f t="shared" si="1"/>
        <v>1.0000000000000002</v>
      </c>
      <c r="J26">
        <f t="shared" si="1"/>
        <v>0.28922686993964708</v>
      </c>
      <c r="K26">
        <f t="shared" si="1"/>
        <v>0.2931126954999399</v>
      </c>
      <c r="L26">
        <f t="shared" si="1"/>
        <v>0.30087556779146268</v>
      </c>
      <c r="M26">
        <f t="shared" si="1"/>
        <v>2.3639059251300529</v>
      </c>
      <c r="N26">
        <f t="shared" si="1"/>
        <v>0.29881237392598631</v>
      </c>
      <c r="O26">
        <f t="shared" si="1"/>
        <v>0.30387715411786337</v>
      </c>
      <c r="P26">
        <f t="shared" si="1"/>
        <v>0.29847664874688717</v>
      </c>
      <c r="Q26">
        <f t="shared" si="1"/>
        <v>0.29675012482520069</v>
      </c>
      <c r="R26">
        <f t="shared" si="1"/>
        <v>0.31575465570046218</v>
      </c>
      <c r="S26">
        <f t="shared" si="1"/>
        <v>0.2973387902144658</v>
      </c>
      <c r="T26">
        <f t="shared" si="1"/>
        <v>0.30189346023506602</v>
      </c>
      <c r="U26">
        <f t="shared" si="1"/>
        <v>0.31382315527945776</v>
      </c>
      <c r="V26">
        <f t="shared" si="1"/>
        <v>0.29774422386425037</v>
      </c>
      <c r="W26">
        <f t="shared" si="1"/>
        <v>0.30138467842681449</v>
      </c>
      <c r="X26">
        <f t="shared" si="1"/>
        <v>0.29839621892139401</v>
      </c>
      <c r="Y26">
        <f t="shared" si="1"/>
        <v>0.29544045090896165</v>
      </c>
      <c r="Z26">
        <f t="shared" si="1"/>
        <v>0.29125218921682677</v>
      </c>
      <c r="AA26">
        <f t="shared" si="1"/>
        <v>0.30044564590522277</v>
      </c>
      <c r="AB26">
        <f t="shared" si="1"/>
        <v>0.29770769934308267</v>
      </c>
      <c r="AC26">
        <f t="shared" si="1"/>
        <v>0.29807480506310718</v>
      </c>
      <c r="AD26">
        <f t="shared" si="1"/>
        <v>0.30012875469871059</v>
      </c>
      <c r="AE26">
        <f t="shared" si="1"/>
        <v>0.30030986370555679</v>
      </c>
      <c r="AF26">
        <f t="shared" si="1"/>
        <v>0.30078617837049437</v>
      </c>
      <c r="AG26">
        <f t="shared" si="1"/>
        <v>0.29600286276928228</v>
      </c>
      <c r="AH26">
        <f t="shared" si="1"/>
        <v>0.28487246880373285</v>
      </c>
      <c r="AI26">
        <f t="shared" si="1"/>
        <v>0.27561996162426872</v>
      </c>
      <c r="AJ26">
        <f t="shared" si="1"/>
        <v>0.30200933747465564</v>
      </c>
      <c r="AK26">
        <f t="shared" si="1"/>
        <v>0.29493730043602834</v>
      </c>
      <c r="AL26">
        <f t="shared" si="1"/>
        <v>0.31648101261357753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Towbin</cp:lastModifiedBy>
  <dcterms:created xsi:type="dcterms:W3CDTF">2025-02-20T19:15:16Z</dcterms:created>
  <dcterms:modified xsi:type="dcterms:W3CDTF">2025-02-21T13:01:57Z</dcterms:modified>
</cp:coreProperties>
</file>